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hawkl\Documents\GitHub\BloodTransfusion\BT\Assets\StreamingAssets\LevelGen\"/>
    </mc:Choice>
  </mc:AlternateContent>
  <xr:revisionPtr revIDLastSave="0" documentId="13_ncr:1_{D208825A-29B0-48A8-B4FE-7D91095424AB}" xr6:coauthVersionLast="45" xr6:coauthVersionMax="45" xr10:uidLastSave="{00000000-0000-0000-0000-000000000000}"/>
  <bookViews>
    <workbookView xWindow="915" yWindow="315" windowWidth="27375" windowHeight="15285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Assets!$E$2:$E$17</definedName>
    <definedName name="BedsideHead">Assets!$C$2:$C$20</definedName>
    <definedName name="BedsideMid">Assets!$D$2:$D$17</definedName>
    <definedName name="Cart">Assets!$F$2:$F$20</definedName>
    <definedName name="InfusionBag">SubAssets!$A$2:$A$11</definedName>
    <definedName name="RoomLrgPatient_bas_locs">RoomLocs!$G$3:$H$60</definedName>
    <definedName name="RoomMedBreak_3couch_locs">RoomLocs!$C$3:$D$60</definedName>
    <definedName name="RoomMedExam_3bed_locs">RoomLocs!$C$3:$D$60</definedName>
    <definedName name="RoomMedExam_base_locs">RoomLocs!$E$3:$F$60</definedName>
    <definedName name="RoomMedPatient_3bed_locs">RoomLocs!$C$3:$D$60</definedName>
    <definedName name="RoomXLGPatient_Base_locs">RoomLocs!$I$3:$J$60</definedName>
    <definedName name="Screen">Assets!$G$2:$G$20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0" i="1" l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 l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B58" i="1" a="1"/>
  <c r="B56" i="1" a="1"/>
  <c r="B54" i="1" a="1"/>
  <c r="B52" i="1" a="1"/>
  <c r="B50" i="1" a="1"/>
  <c r="B48" i="1" a="1"/>
  <c r="B46" i="1" a="1"/>
  <c r="B44" i="1" a="1"/>
  <c r="B42" i="1" a="1"/>
  <c r="B60" i="1" a="1"/>
  <c r="A58" i="1" a="1"/>
  <c r="A50" i="1" a="1"/>
  <c r="A44" i="1" a="1"/>
  <c r="A40" i="1" a="1"/>
  <c r="A57" i="1" a="1"/>
  <c r="A51" i="1" a="1"/>
  <c r="A39" i="1" a="1"/>
  <c r="A60" i="1" a="1"/>
  <c r="A56" i="1" a="1"/>
  <c r="A54" i="1" a="1"/>
  <c r="A52" i="1" a="1"/>
  <c r="A48" i="1" a="1"/>
  <c r="A46" i="1" a="1"/>
  <c r="A42" i="1" a="1"/>
  <c r="A38" i="1" a="1"/>
  <c r="A53" i="1" a="1"/>
  <c r="A45" i="1" a="1"/>
  <c r="A41" i="1" a="1"/>
  <c r="B40" i="1" a="1"/>
  <c r="B57" i="1" a="1"/>
  <c r="B47" i="1" a="1"/>
  <c r="B39" i="1" a="1"/>
  <c r="A47" i="1" a="1"/>
  <c r="B59" i="1" a="1"/>
  <c r="B55" i="1" a="1"/>
  <c r="B53" i="1" a="1"/>
  <c r="B51" i="1" a="1"/>
  <c r="B49" i="1" a="1"/>
  <c r="B45" i="1" a="1"/>
  <c r="B43" i="1" a="1"/>
  <c r="B41" i="1" a="1"/>
  <c r="A55" i="1" a="1"/>
  <c r="A49" i="1" a="1"/>
  <c r="A43" i="1" a="1"/>
  <c r="B38" i="1" a="1"/>
  <c r="A59" i="1" a="1"/>
  <c r="B8" i="1" a="1"/>
  <c r="B34" i="1" a="1"/>
  <c r="B11" i="1" a="1"/>
  <c r="B17" i="1" a="1"/>
  <c r="A16" i="1" a="1"/>
  <c r="B33" i="1" a="1"/>
  <c r="A5" i="1" a="1"/>
  <c r="A12" i="1" a="1"/>
  <c r="A19" i="1" a="1"/>
  <c r="B18" i="1" a="1"/>
  <c r="B9" i="1" a="1"/>
  <c r="A11" i="1" a="1"/>
  <c r="A34" i="1" a="1"/>
  <c r="A17" i="1" a="1"/>
  <c r="B32" i="1" a="1"/>
  <c r="A27" i="1" a="1"/>
  <c r="B29" i="1" a="1"/>
  <c r="B5" i="1" a="1"/>
  <c r="B13" i="1" a="1"/>
  <c r="A21" i="1" a="1"/>
  <c r="A22" i="1" a="1"/>
  <c r="A26" i="1" a="1"/>
  <c r="B30" i="1" a="1"/>
  <c r="A25" i="1" a="1"/>
  <c r="A30" i="1" a="1"/>
  <c r="B24" i="1" a="1"/>
  <c r="A9" i="1" a="1"/>
  <c r="B37" i="1" a="1"/>
  <c r="B16" i="1" a="1"/>
  <c r="A36" i="1" a="1"/>
  <c r="A14" i="1" a="1"/>
  <c r="B14" i="1" a="1"/>
  <c r="A32" i="1" a="1"/>
  <c r="B23" i="1" a="1"/>
  <c r="B22" i="1" a="1"/>
  <c r="A7" i="1" a="1"/>
  <c r="B25" i="1" a="1"/>
  <c r="A8" i="1" a="1"/>
  <c r="B28" i="1" a="1"/>
  <c r="A23" i="1" a="1"/>
  <c r="B36" i="1" a="1"/>
  <c r="B26" i="1" a="1"/>
  <c r="B19" i="1" a="1"/>
  <c r="A28" i="1" a="1"/>
  <c r="A15" i="1" a="1"/>
  <c r="A18" i="1" a="1"/>
  <c r="A31" i="1" a="1"/>
  <c r="B10" i="1" a="1"/>
  <c r="A24" i="1" a="1"/>
  <c r="B27" i="1" a="1"/>
  <c r="A20" i="1" a="1"/>
  <c r="A35" i="1" a="1"/>
  <c r="B35" i="1" a="1"/>
  <c r="B20" i="1" a="1"/>
  <c r="B12" i="1" a="1"/>
  <c r="B15" i="1" a="1"/>
  <c r="A10" i="1" a="1"/>
  <c r="B7" i="1" a="1"/>
  <c r="A13" i="1" a="1"/>
  <c r="B31" i="1" a="1"/>
  <c r="B6" i="1" a="1"/>
  <c r="A6" i="1" a="1"/>
  <c r="A29" i="1" a="1"/>
  <c r="A37" i="1" a="1"/>
  <c r="B21" i="1" a="1"/>
  <c r="A33" i="1" a="1"/>
  <c r="A59" i="1" l="1"/>
  <c r="B38" i="1"/>
  <c r="A43" i="1"/>
  <c r="A49" i="1"/>
  <c r="A55" i="1"/>
  <c r="B41" i="1"/>
  <c r="B43" i="1"/>
  <c r="B45" i="1"/>
  <c r="B49" i="1"/>
  <c r="B51" i="1"/>
  <c r="B53" i="1"/>
  <c r="B55" i="1"/>
  <c r="B59" i="1"/>
  <c r="A47" i="1"/>
  <c r="B39" i="1"/>
  <c r="B47" i="1"/>
  <c r="B57" i="1"/>
  <c r="B40" i="1"/>
  <c r="A41" i="1"/>
  <c r="A45" i="1"/>
  <c r="A53" i="1"/>
  <c r="A38" i="1"/>
  <c r="A42" i="1"/>
  <c r="A46" i="1"/>
  <c r="A48" i="1"/>
  <c r="A52" i="1"/>
  <c r="A54" i="1"/>
  <c r="A56" i="1"/>
  <c r="A60" i="1"/>
  <c r="A39" i="1"/>
  <c r="A51" i="1"/>
  <c r="A57" i="1"/>
  <c r="A40" i="1"/>
  <c r="A44" i="1"/>
  <c r="A50" i="1"/>
  <c r="A58" i="1"/>
  <c r="B60" i="1"/>
  <c r="B42" i="1"/>
  <c r="B44" i="1"/>
  <c r="B46" i="1"/>
  <c r="B48" i="1"/>
  <c r="B50" i="1"/>
  <c r="B52" i="1"/>
  <c r="B54" i="1"/>
  <c r="B56" i="1"/>
  <c r="B58" i="1"/>
  <c r="B9" i="1"/>
  <c r="B19" i="1"/>
  <c r="A7" i="1"/>
  <c r="A9" i="1"/>
  <c r="A11" i="1"/>
  <c r="A13" i="1"/>
  <c r="A15" i="1"/>
  <c r="A17" i="1"/>
  <c r="A19" i="1"/>
  <c r="A21" i="1"/>
  <c r="A23" i="1"/>
  <c r="A25" i="1"/>
  <c r="A27" i="1"/>
  <c r="A29" i="1"/>
  <c r="A31" i="1"/>
  <c r="A33" i="1"/>
  <c r="A35" i="1"/>
  <c r="A37" i="1"/>
  <c r="B7" i="1"/>
  <c r="B17" i="1"/>
  <c r="B23" i="1"/>
  <c r="B31" i="1"/>
  <c r="B37" i="1"/>
  <c r="B35" i="1"/>
  <c r="B13" i="1"/>
  <c r="B21" i="1"/>
  <c r="B27" i="1"/>
  <c r="B29" i="1"/>
  <c r="B33" i="1"/>
  <c r="A6" i="1"/>
  <c r="A8" i="1"/>
  <c r="A10" i="1"/>
  <c r="A12" i="1"/>
  <c r="A14" i="1"/>
  <c r="A16" i="1"/>
  <c r="A18" i="1"/>
  <c r="A20" i="1"/>
  <c r="A22" i="1"/>
  <c r="A24" i="1"/>
  <c r="A26" i="1"/>
  <c r="A28" i="1"/>
  <c r="A30" i="1"/>
  <c r="A32" i="1"/>
  <c r="A34" i="1"/>
  <c r="A36" i="1"/>
  <c r="B15" i="1"/>
  <c r="B25" i="1"/>
  <c r="B6" i="1"/>
  <c r="B8" i="1"/>
  <c r="B10" i="1"/>
  <c r="B14" i="1"/>
  <c r="B16" i="1"/>
  <c r="B18" i="1"/>
  <c r="B20" i="1"/>
  <c r="B22" i="1"/>
  <c r="B24" i="1"/>
  <c r="B26" i="1"/>
  <c r="B28" i="1"/>
  <c r="B30" i="1"/>
  <c r="B32" i="1"/>
  <c r="B34" i="1"/>
  <c r="B36" i="1"/>
  <c r="B11" i="1"/>
  <c r="B12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<sst xmlns="http://schemas.openxmlformats.org/spreadsheetml/2006/main" count="191" uniqueCount="64">
  <si>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</si>
  <si>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</si>
  <si>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</si>
  <si>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</si>
  <si>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</si>
  <si>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</si>
  <si>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</si>
  <si>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</si>
  <si>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</si>
  <si>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</si>
  <si>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</si>
  <si>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</si>
  <si>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</si>
  <si>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</si>
  <si>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</si>
  <si>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</si>
  <si>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</si>
  <si>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</si>
  <si>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</si>
  <si>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</si>
  <si>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</si>
  <si>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</si>
  <si>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</si>
  <si>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</si>
  <si>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</si>
  <si>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</si>
  <si>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</si>
  <si>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</si>
  <si>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</si>
  <si>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</si>
  <si>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</si>
  <si>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</si>
  <si>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</si>
  <si>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</si>
  <si>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</si>
  <si>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</si>
  <si>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</si>
  <si>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</si>
  <si>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</si>
  <si>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</si>
  <si>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</si>
  <si>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</si>
  <si>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</si>
  <si>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</si>
  <si>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</si>
  <si>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</si>
  <si>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</si>
  <si>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</si>
  <si>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</si>
  <si>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</si>
  <si>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</si>
  <si>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</si>
  <si>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</si>
  <si>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</si>
  <si>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</si>
  <si>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</si>
  <si>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</si>
  <si>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</si>
  <si>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</si>
  <si>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</si>
  <si>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</si>
  <si>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</t>
  </si>
  <si>
    <t>RoomXLGPatient_Base_locs</t>
  </si>
  <si>
    <t>RoomXLGPatient_base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</si>
</sst>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tabSelected="1" workbookViewId="0">
      <selection activeCell="K35" sqref="K35"/>
    </sheetView>
  </sheetViews>
  <sheetFormatPr defaultRowHeight="15" x14ac:dyDescent="0.25"/>
  <cols>
    <col min="1" max="1" width="15.7109375" bestFit="1" customWidth="1"/>
    <col min="2" max="2" width="3" customWidth="1"/>
    <col min="3" max="3" width="23" customWidth="1"/>
    <col min="4" max="4" width="11.42578125" bestFit="1" customWidth="1"/>
    <col min="5" max="5" width="5.28515625" customWidth="1"/>
    <col min="6" max="6" width="16.85546875" bestFit="1" customWidth="1"/>
  </cols>
  <sheetData>
    <row r="1" spans="1:6" x14ac:dyDescent="0.25">
      <c r="A1" t="s">
        <v>60</v>
      </c>
      <c r="D1" s="5" t="s">
        <v>59</v>
      </c>
    </row>
    <row r="3" spans="1:6" s="4" customFormat="1" x14ac:dyDescent="0.25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</row>
    <row r="4" spans="1:6" x14ac:dyDescent="0.25">
      <c r="A4" t="s">
        <v>0</v>
      </c>
      <c r="B4" s="3" t="s">
        <v>16</v>
      </c>
      <c r="C4" s="6" t="s">
        <v>63</v>
      </c>
    </row>
    <row r="5" spans="1:6" x14ac:dyDescent="0.25">
      <c r="A5" t="str" cm="1">
        <f t="array" aca="1" ref="A5" ca="1">INDEX(INDIRECT(VLOOKUP($C$4, RoomLocs!$A$2:$B$34,2,)),ROW()-4,COLUMN()) &amp; ""</f>
        <v>Bed</v>
      </c>
      <c r="B5" t="str" cm="1">
        <f t="array" aca="1" ref="B5" ca="1">INDEX(INDIRECT(VLOOKUP($C$4, RoomLocs!$A$2:$B$34,2,)),ROW()-4,COLUMN()) &amp; ""</f>
        <v>1</v>
      </c>
      <c r="C5" t="s">
        <v>49</v>
      </c>
      <c r="D5" t="str">
        <f>_xlfn.XLOOKUP($C5,AssetLocs!$A$1:$ZX$1,AssetLocs!$A$2:$ZX$2,"") &amp; ""</f>
        <v/>
      </c>
      <c r="E5" t="str">
        <f>_xlfn.XLOOKUP($C5,AssetLocs!$A$1:$ZX$1,AssetLocs!$B$2:$ZY$2,"") &amp; ""</f>
        <v/>
      </c>
    </row>
    <row r="6" spans="1:6" x14ac:dyDescent="0.25">
      <c r="A6" t="str" cm="1">
        <f t="array" aca="1" ref="A6" ca="1">INDEX(INDIRECT(VLOOKUP($C$4, RoomLocs!$A$2:$B$34,2,)),ROW()-4,COLUMN()) &amp; ""</f>
        <v>Wall</v>
      </c>
      <c r="B6" t="str" cm="1">
        <f t="array" aca="1" ref="B6" ca="1">INDEX(INDIRECT(VLOOKUP($C$4, RoomLocs!$A$2:$B$34,2,)),ROW()-4,COLUMN()) &amp; ""</f>
        <v>1</v>
      </c>
      <c r="D6" t="str">
        <f>_xlfn.XLOOKUP($C6,AssetLocs!$A$1:$ZX$1,AssetLocs!$A$2:$ZX$2,"") &amp; ""</f>
        <v/>
      </c>
      <c r="E6" t="str">
        <f>_xlfn.XLOOKUP($C6,AssetLocs!$A$1:$ZX$1,AssetLocs!$B$2:$ZY$2,"") &amp; ""</f>
        <v/>
      </c>
    </row>
    <row r="7" spans="1:6" x14ac:dyDescent="0.25">
      <c r="A7" t="str" cm="1">
        <f t="array" aca="1" ref="A7" ca="1">INDEX(INDIRECT(VLOOKUP($C$4, RoomLocs!$A$2:$B$34,2,)),ROW()-4,COLUMN()) &amp; ""</f>
        <v>BedsideHead</v>
      </c>
      <c r="B7" t="str" cm="1">
        <f t="array" aca="1" ref="B7" ca="1">INDEX(INDIRECT(VLOOKUP($C$4, RoomLocs!$A$2:$B$34,2,)),ROW()-4,COLUMN()) &amp; ""</f>
        <v>1</v>
      </c>
      <c r="D7" t="str">
        <f>_xlfn.XLOOKUP($C7,AssetLocs!$A$1:$ZX$1,AssetLocs!$A$2:$ZX$2,"") &amp; ""</f>
        <v/>
      </c>
      <c r="E7" t="str">
        <f>_xlfn.XLOOKUP($C7,AssetLocs!$A$1:$ZX$1,AssetLocs!$B$2:$ZY$2,"") &amp; ""</f>
        <v/>
      </c>
    </row>
    <row r="8" spans="1:6" x14ac:dyDescent="0.25">
      <c r="A8" t="str" cm="1">
        <f t="array" aca="1" ref="A8" ca="1">INDEX(INDIRECT(VLOOKUP($C$4, RoomLocs!$A$2:$B$34,2,)),ROW()-4,COLUMN()) &amp; ""</f>
        <v>BedsideMid</v>
      </c>
      <c r="B8" t="str" cm="1">
        <f t="array" aca="1" ref="B8" ca="1">INDEX(INDIRECT(VLOOKUP($C$4, RoomLocs!$A$2:$B$34,2,)),ROW()-4,COLUMN()) &amp; ""</f>
        <v>1</v>
      </c>
      <c r="D8" t="str">
        <f>_xlfn.XLOOKUP($C8,AssetLocs!$A$1:$ZX$1,AssetLocs!$A$2:$ZX$2,"") &amp; ""</f>
        <v/>
      </c>
      <c r="E8" t="str">
        <f>_xlfn.XLOOKUP($C8,AssetLocs!$A$1:$ZX$1,AssetLocs!$B$2:$ZY$2,"") &amp; ""</f>
        <v/>
      </c>
    </row>
    <row r="9" spans="1:6" x14ac:dyDescent="0.25">
      <c r="A9" t="str" cm="1">
        <f t="array" aca="1" ref="A9" ca="1">INDEX(INDIRECT(VLOOKUP($C$4, RoomLocs!$A$2:$B$34,2,)),ROW()-4,COLUMN()) &amp; ""</f>
        <v>BedsideFoot</v>
      </c>
      <c r="B9" t="str" cm="1">
        <f t="array" aca="1" ref="B9" ca="1">INDEX(INDIRECT(VLOOKUP($C$4, RoomLocs!$A$2:$B$34,2,)),ROW()-4,COLUMN()) &amp; ""</f>
        <v>1</v>
      </c>
      <c r="D9" t="str">
        <f>_xlfn.XLOOKUP($C9,AssetLocs!$A$1:$ZX$1,AssetLocs!$A$2:$ZX$2,"") &amp; ""</f>
        <v/>
      </c>
      <c r="E9" t="str">
        <f>_xlfn.XLOOKUP($C9,AssetLocs!$A$1:$ZX$1,AssetLocs!$B$2:$ZY$2,"") &amp; ""</f>
        <v/>
      </c>
    </row>
    <row r="10" spans="1:6" x14ac:dyDescent="0.25">
      <c r="A10" t="str" cm="1">
        <f t="array" aca="1" ref="A10" ca="1">INDEX(INDIRECT(VLOOKUP($C$4, RoomLocs!$A$2:$B$34,2,)),ROW()-4,COLUMN()) &amp; ""</f>
        <v>Cart</v>
      </c>
      <c r="B10" t="str" cm="1">
        <f t="array" aca="1" ref="B10" ca="1">INDEX(INDIRECT(VLOOKUP($C$4, RoomLocs!$A$2:$B$34,2,)),ROW()-4,COLUMN()) &amp; ""</f>
        <v>1</v>
      </c>
      <c r="D10" t="str">
        <f>_xlfn.XLOOKUP($C10,AssetLocs!$A$1:$ZX$1,AssetLocs!$A$2:$ZX$2,"") &amp; ""</f>
        <v/>
      </c>
      <c r="E10" t="str">
        <f>_xlfn.XLOOKUP($C10,AssetLocs!$A$1:$ZX$1,AssetLocs!$B$2:$ZY$2,"") &amp; ""</f>
        <v/>
      </c>
    </row>
    <row r="11" spans="1:6" x14ac:dyDescent="0.25">
      <c r="A11" t="str" cm="1">
        <f t="array" aca="1" ref="A11" ca="1">INDEX(INDIRECT(VLOOKUP($C$4, RoomLocs!$A$2:$B$34,2,)),ROW()-4,COLUMN()) &amp; ""</f>
        <v>Screen</v>
      </c>
      <c r="B11" t="str" cm="1">
        <f t="array" aca="1" ref="B11" ca="1">INDEX(INDIRECT(VLOOKUP($C$4, RoomLocs!$A$2:$B$34,2,)),ROW()-4,COLUMN()) &amp; ""</f>
        <v>1</v>
      </c>
      <c r="D11" t="str">
        <f>_xlfn.XLOOKUP($C11,AssetLocs!$A$1:$ZX$1,AssetLocs!$A$2:$ZX$2,"") &amp; ""</f>
        <v/>
      </c>
      <c r="E11" t="str">
        <f>_xlfn.XLOOKUP($C11,AssetLocs!$A$1:$ZX$1,AssetLocs!$B$2:$ZY$2,"") &amp; ""</f>
        <v/>
      </c>
    </row>
    <row r="12" spans="1:6" x14ac:dyDescent="0.25">
      <c r="A12" t="str" cm="1">
        <f t="array" aca="1" ref="A12" ca="1">INDEX(INDIRECT(VLOOKUP($C$4, RoomLocs!$A$2:$B$34,2,)),ROW()-4,COLUMN()) &amp; ""</f>
        <v>Screen</v>
      </c>
      <c r="B12" t="str" cm="1">
        <f t="array" aca="1" ref="B12" ca="1">INDEX(INDIRECT(VLOOKUP($C$4, RoomLocs!$A$2:$B$34,2,)),ROW()-4,COLUMN()) &amp; ""</f>
        <v>2</v>
      </c>
      <c r="D12" t="str">
        <f>_xlfn.XLOOKUP($C12,AssetLocs!$A$1:$ZX$1,AssetLocs!$A$2:$ZX$2,"") &amp; ""</f>
        <v/>
      </c>
      <c r="E12" t="str">
        <f>_xlfn.XLOOKUP($C12,AssetLocs!$A$1:$ZX$1,AssetLocs!$B$2:$ZY$2,"") &amp; ""</f>
        <v/>
      </c>
    </row>
    <row r="13" spans="1:6" x14ac:dyDescent="0.25">
      <c r="A13" t="str" cm="1">
        <f t="array" aca="1" ref="A13" ca="1">INDEX(INDIRECT(VLOOKUP($C$4, RoomLocs!$A$2:$B$34,2,)),ROW()-4,COLUMN()) &amp; ""</f>
        <v>Bed</v>
      </c>
      <c r="B13" t="str" cm="1">
        <f t="array" aca="1" ref="B13" ca="1">INDEX(INDIRECT(VLOOKUP($C$4, RoomLocs!$A$2:$B$34,2,)),ROW()-4,COLUMN()) &amp; ""</f>
        <v>2</v>
      </c>
      <c r="C13" t="s">
        <v>49</v>
      </c>
      <c r="D13" t="str">
        <f>_xlfn.XLOOKUP($C13,AssetLocs!$A$1:$ZX$1,AssetLocs!$A$2:$ZX$2,"") &amp; ""</f>
        <v/>
      </c>
      <c r="E13" t="str">
        <f>_xlfn.XLOOKUP($C13,AssetLocs!$A$1:$ZX$1,AssetLocs!$B$2:$ZY$2,"") &amp; ""</f>
        <v/>
      </c>
    </row>
    <row r="14" spans="1:6" x14ac:dyDescent="0.25">
      <c r="A14" t="str" cm="1">
        <f t="array" aca="1" ref="A14" ca="1">INDEX(INDIRECT(VLOOKUP($C$4, RoomLocs!$A$2:$B$34,2,)),ROW()-4,COLUMN()) &amp; ""</f>
        <v>Wall</v>
      </c>
      <c r="B14" t="str" cm="1">
        <f t="array" aca="1" ref="B14" ca="1">INDEX(INDIRECT(VLOOKUP($C$4, RoomLocs!$A$2:$B$34,2,)),ROW()-4,COLUMN()) &amp; ""</f>
        <v>2</v>
      </c>
      <c r="D14" t="str">
        <f>_xlfn.XLOOKUP($C14,AssetLocs!$A$1:$ZX$1,AssetLocs!$A$2:$ZX$2,"") &amp; ""</f>
        <v/>
      </c>
      <c r="E14" t="str">
        <f>_xlfn.XLOOKUP($C14,AssetLocs!$A$1:$ZX$1,AssetLocs!$B$2:$ZY$2,"") &amp; ""</f>
        <v/>
      </c>
    </row>
    <row r="15" spans="1:6" x14ac:dyDescent="0.25">
      <c r="A15" t="str" cm="1">
        <f t="array" aca="1" ref="A15" ca="1">INDEX(INDIRECT(VLOOKUP($C$4, RoomLocs!$A$2:$B$34,2,)),ROW()-4,COLUMN()) &amp; ""</f>
        <v>BedsideHead</v>
      </c>
      <c r="B15" t="str" cm="1">
        <f t="array" aca="1" ref="B15" ca="1">INDEX(INDIRECT(VLOOKUP($C$4, RoomLocs!$A$2:$B$34,2,)),ROW()-4,COLUMN()) &amp; ""</f>
        <v>2</v>
      </c>
      <c r="D15" t="str">
        <f>_xlfn.XLOOKUP($C15,AssetLocs!$A$1:$ZX$1,AssetLocs!$A$2:$ZX$2,"") &amp; ""</f>
        <v/>
      </c>
      <c r="E15" t="str">
        <f>_xlfn.XLOOKUP($C15,AssetLocs!$A$1:$ZX$1,AssetLocs!$B$2:$ZY$2,"") &amp; ""</f>
        <v/>
      </c>
    </row>
    <row r="16" spans="1:6" x14ac:dyDescent="0.25">
      <c r="A16" t="str" cm="1">
        <f t="array" aca="1" ref="A16" ca="1">INDEX(INDIRECT(VLOOKUP($C$4, RoomLocs!$A$2:$B$34,2,)),ROW()-4,COLUMN()) &amp; ""</f>
        <v>BedsideMid</v>
      </c>
      <c r="B16" t="str" cm="1">
        <f t="array" aca="1" ref="B16" ca="1">INDEX(INDIRECT(VLOOKUP($C$4, RoomLocs!$A$2:$B$34,2,)),ROW()-4,COLUMN()) &amp; ""</f>
        <v>2</v>
      </c>
      <c r="D16" t="str">
        <f>_xlfn.XLOOKUP($C16,AssetLocs!$A$1:$ZX$1,AssetLocs!$A$2:$ZX$2,"") &amp; ""</f>
        <v/>
      </c>
      <c r="E16" t="str">
        <f>_xlfn.XLOOKUP($C16,AssetLocs!$A$1:$ZX$1,AssetLocs!$B$2:$ZY$2,"") &amp; ""</f>
        <v/>
      </c>
    </row>
    <row r="17" spans="1:5" x14ac:dyDescent="0.25">
      <c r="A17" t="str" cm="1">
        <f t="array" aca="1" ref="A17" ca="1">INDEX(INDIRECT(VLOOKUP($C$4, RoomLocs!$A$2:$B$34,2,)),ROW()-4,COLUMN()) &amp; ""</f>
        <v>BedsideFoot</v>
      </c>
      <c r="B17" t="str" cm="1">
        <f t="array" aca="1" ref="B17" ca="1">INDEX(INDIRECT(VLOOKUP($C$4, RoomLocs!$A$2:$B$34,2,)),ROW()-4,COLUMN()) &amp; ""</f>
        <v>2</v>
      </c>
      <c r="D17" t="str">
        <f>_xlfn.XLOOKUP($C17,AssetLocs!$A$1:$ZX$1,AssetLocs!$A$2:$ZX$2,"") &amp; ""</f>
        <v/>
      </c>
      <c r="E17" t="str">
        <f>_xlfn.XLOOKUP($C17,AssetLocs!$A$1:$ZX$1,AssetLocs!$B$2:$ZY$2,"") &amp; ""</f>
        <v/>
      </c>
    </row>
    <row r="18" spans="1:5" x14ac:dyDescent="0.25">
      <c r="A18" t="str" cm="1">
        <f t="array" aca="1" ref="A18" ca="1">INDEX(INDIRECT(VLOOKUP($C$4, RoomLocs!$A$2:$B$34,2,)),ROW()-4,COLUMN()) &amp; ""</f>
        <v>Cart</v>
      </c>
      <c r="B18" t="str" cm="1">
        <f t="array" aca="1" ref="B18" ca="1">INDEX(INDIRECT(VLOOKUP($C$4, RoomLocs!$A$2:$B$34,2,)),ROW()-4,COLUMN()) &amp; ""</f>
        <v>2</v>
      </c>
      <c r="D18" t="str">
        <f>_xlfn.XLOOKUP($C18,AssetLocs!$A$1:$ZX$1,AssetLocs!$A$2:$ZX$2,"") &amp; ""</f>
        <v/>
      </c>
      <c r="E18" t="str">
        <f>_xlfn.XLOOKUP($C18,AssetLocs!$A$1:$ZX$1,AssetLocs!$B$2:$ZY$2,"") &amp; ""</f>
        <v/>
      </c>
    </row>
    <row r="19" spans="1:5" x14ac:dyDescent="0.25">
      <c r="A19" t="str" cm="1">
        <f t="array" aca="1" ref="A19" ca="1">INDEX(INDIRECT(VLOOKUP($C$4, RoomLocs!$A$2:$B$34,2,)),ROW()-4,COLUMN()) &amp; ""</f>
        <v>Screen</v>
      </c>
      <c r="B19" t="str" cm="1">
        <f t="array" aca="1" ref="B19" ca="1">INDEX(INDIRECT(VLOOKUP($C$4, RoomLocs!$A$2:$B$34,2,)),ROW()-4,COLUMN()) &amp; ""</f>
        <v>3</v>
      </c>
      <c r="D19" t="str">
        <f>_xlfn.XLOOKUP($C19,AssetLocs!$A$1:$ZX$1,AssetLocs!$A$2:$ZX$2,"") &amp; ""</f>
        <v/>
      </c>
      <c r="E19" t="str">
        <f>_xlfn.XLOOKUP($C19,AssetLocs!$A$1:$ZX$1,AssetLocs!$B$2:$ZY$2,"") &amp; ""</f>
        <v/>
      </c>
    </row>
    <row r="20" spans="1:5" x14ac:dyDescent="0.25">
      <c r="A20" t="str" cm="1">
        <f t="array" aca="1" ref="A20" ca="1">INDEX(INDIRECT(VLOOKUP($C$4, RoomLocs!$A$2:$B$34,2,)),ROW()-4,COLUMN()) &amp; ""</f>
        <v>Screen</v>
      </c>
      <c r="B20" t="str" cm="1">
        <f t="array" aca="1" ref="B20" ca="1">INDEX(INDIRECT(VLOOKUP($C$4, RoomLocs!$A$2:$B$34,2,)),ROW()-4,COLUMN()) &amp; ""</f>
        <v>4</v>
      </c>
      <c r="D20" t="str">
        <f>_xlfn.XLOOKUP($C20,AssetLocs!$A$1:$ZX$1,AssetLocs!$A$2:$ZX$2,"") &amp; ""</f>
        <v/>
      </c>
      <c r="E20" t="str">
        <f>_xlfn.XLOOKUP($C20,AssetLocs!$A$1:$ZX$1,AssetLocs!$B$2:$ZY$2,"") &amp; ""</f>
        <v/>
      </c>
    </row>
    <row r="21" spans="1:5" x14ac:dyDescent="0.25">
      <c r="A21" t="str" cm="1">
        <f t="array" aca="1" ref="A21" ca="1">INDEX(INDIRECT(VLOOKUP($C$4, RoomLocs!$A$2:$B$34,2,)),ROW()-4,COLUMN()) &amp; ""</f>
        <v>Bed</v>
      </c>
      <c r="B21" t="str" cm="1">
        <f t="array" aca="1" ref="B21" ca="1">INDEX(INDIRECT(VLOOKUP($C$4, RoomLocs!$A$2:$B$34,2,)),ROW()-4,COLUMN()) &amp; ""</f>
        <v>3</v>
      </c>
      <c r="C21" t="s">
        <v>49</v>
      </c>
      <c r="D21" t="str">
        <f>_xlfn.XLOOKUP($C21,AssetLocs!$A$1:$ZX$1,AssetLocs!$A$2:$ZX$2,"") &amp; ""</f>
        <v/>
      </c>
      <c r="E21" t="str">
        <f>_xlfn.XLOOKUP($C21,AssetLocs!$A$1:$ZX$1,AssetLocs!$B$2:$ZY$2,"") &amp; ""</f>
        <v/>
      </c>
    </row>
    <row r="22" spans="1:5" x14ac:dyDescent="0.25">
      <c r="A22" t="str" cm="1">
        <f t="array" aca="1" ref="A22" ca="1">INDEX(INDIRECT(VLOOKUP($C$4, RoomLocs!$A$2:$B$34,2,)),ROW()-4,COLUMN()) &amp; ""</f>
        <v>Wall</v>
      </c>
      <c r="B22" t="str" cm="1">
        <f t="array" aca="1" ref="B22" ca="1">INDEX(INDIRECT(VLOOKUP($C$4, RoomLocs!$A$2:$B$34,2,)),ROW()-4,COLUMN()) &amp; ""</f>
        <v>3</v>
      </c>
      <c r="D22" t="str">
        <f>_xlfn.XLOOKUP($C22,AssetLocs!$A$1:$ZX$1,AssetLocs!$A$2:$ZX$2,"") &amp; ""</f>
        <v/>
      </c>
      <c r="E22" t="str">
        <f>_xlfn.XLOOKUP($C22,AssetLocs!$A$1:$ZX$1,AssetLocs!$B$2:$ZY$2,"") &amp; ""</f>
        <v/>
      </c>
    </row>
    <row r="23" spans="1:5" x14ac:dyDescent="0.25">
      <c r="A23" t="str" cm="1">
        <f t="array" aca="1" ref="A23" ca="1">INDEX(INDIRECT(VLOOKUP($C$4, RoomLocs!$A$2:$B$34,2,)),ROW()-4,COLUMN()) &amp; ""</f>
        <v>BedsideHead</v>
      </c>
      <c r="B23" t="str" cm="1">
        <f t="array" aca="1" ref="B23" ca="1">INDEX(INDIRECT(VLOOKUP($C$4, RoomLocs!$A$2:$B$34,2,)),ROW()-4,COLUMN()) &amp; ""</f>
        <v>3</v>
      </c>
      <c r="D23" t="str">
        <f>_xlfn.XLOOKUP($C23,AssetLocs!$A$1:$ZX$1,AssetLocs!$A$2:$ZX$2,"") &amp; ""</f>
        <v/>
      </c>
      <c r="E23" t="str">
        <f>_xlfn.XLOOKUP($C23,AssetLocs!$A$1:$ZX$1,AssetLocs!$B$2:$ZY$2,"") &amp; ""</f>
        <v/>
      </c>
    </row>
    <row r="24" spans="1:5" x14ac:dyDescent="0.25">
      <c r="A24" t="str" cm="1">
        <f t="array" aca="1" ref="A24" ca="1">INDEX(INDIRECT(VLOOKUP($C$4, RoomLocs!$A$2:$B$34,2,)),ROW()-4,COLUMN()) &amp; ""</f>
        <v>BedsideMid</v>
      </c>
      <c r="B24" t="str" cm="1">
        <f t="array" aca="1" ref="B24" ca="1">INDEX(INDIRECT(VLOOKUP($C$4, RoomLocs!$A$2:$B$34,2,)),ROW()-4,COLUMN()) &amp; ""</f>
        <v>3</v>
      </c>
      <c r="D24" t="str">
        <f>_xlfn.XLOOKUP($C24,AssetLocs!$A$1:$ZX$1,AssetLocs!$A$2:$ZX$2,"") &amp; ""</f>
        <v/>
      </c>
      <c r="E24" t="str">
        <f>_xlfn.XLOOKUP($C24,AssetLocs!$A$1:$ZX$1,AssetLocs!$B$2:$ZY$2,"") &amp; ""</f>
        <v/>
      </c>
    </row>
    <row r="25" spans="1:5" x14ac:dyDescent="0.25">
      <c r="A25" t="str" cm="1">
        <f t="array" aca="1" ref="A25" ca="1">INDEX(INDIRECT(VLOOKUP($C$4, RoomLocs!$A$2:$B$34,2,)),ROW()-4,COLUMN()) &amp; ""</f>
        <v>BedsideFoot</v>
      </c>
      <c r="B25" t="str" cm="1">
        <f t="array" aca="1" ref="B25" ca="1">INDEX(INDIRECT(VLOOKUP($C$4, RoomLocs!$A$2:$B$34,2,)),ROW()-4,COLUMN()) &amp; ""</f>
        <v>3</v>
      </c>
      <c r="D25" t="str">
        <f>_xlfn.XLOOKUP($C25,AssetLocs!$A$1:$ZX$1,AssetLocs!$A$2:$ZX$2,"") &amp; ""</f>
        <v/>
      </c>
      <c r="E25" t="str">
        <f>_xlfn.XLOOKUP($C25,AssetLocs!$A$1:$ZX$1,AssetLocs!$B$2:$ZY$2,"") &amp; ""</f>
        <v/>
      </c>
    </row>
    <row r="26" spans="1:5" x14ac:dyDescent="0.25">
      <c r="A26" t="str" cm="1">
        <f t="array" aca="1" ref="A26" ca="1">INDEX(INDIRECT(VLOOKUP($C$4, RoomLocs!$A$2:$B$34,2,)),ROW()-4,COLUMN()) &amp; ""</f>
        <v>Cart</v>
      </c>
      <c r="B26" t="str" cm="1">
        <f t="array" aca="1" ref="B26" ca="1">INDEX(INDIRECT(VLOOKUP($C$4, RoomLocs!$A$2:$B$34,2,)),ROW()-4,COLUMN()) &amp; ""</f>
        <v>3</v>
      </c>
      <c r="D26" t="str">
        <f>_xlfn.XLOOKUP($C26,AssetLocs!$A$1:$ZX$1,AssetLocs!$A$2:$ZX$2,"") &amp; ""</f>
        <v/>
      </c>
      <c r="E26" t="str">
        <f>_xlfn.XLOOKUP($C26,AssetLocs!$A$1:$ZX$1,AssetLocs!$B$2:$ZY$2,"") &amp; ""</f>
        <v/>
      </c>
    </row>
    <row r="27" spans="1:5" x14ac:dyDescent="0.25">
      <c r="A27" t="str" cm="1">
        <f t="array" aca="1" ref="A27" ca="1">INDEX(INDIRECT(VLOOKUP($C$4, RoomLocs!$A$2:$B$34,2,)),ROW()-4,COLUMN()) &amp; ""</f>
        <v>Screen</v>
      </c>
      <c r="B27" t="str" cm="1">
        <f t="array" aca="1" ref="B27" ca="1">INDEX(INDIRECT(VLOOKUP($C$4, RoomLocs!$A$2:$B$34,2,)),ROW()-4,COLUMN()) &amp; ""</f>
        <v>5</v>
      </c>
      <c r="D27" t="str">
        <f>_xlfn.XLOOKUP($C27,AssetLocs!$A$1:$ZX$1,AssetLocs!$A$2:$ZX$2,"") &amp; ""</f>
        <v/>
      </c>
      <c r="E27" t="str">
        <f>_xlfn.XLOOKUP($C27,AssetLocs!$A$1:$ZX$1,AssetLocs!$B$2:$ZY$2,"") &amp; ""</f>
        <v/>
      </c>
    </row>
    <row r="28" spans="1:5" x14ac:dyDescent="0.25">
      <c r="A28" t="str" cm="1">
        <f t="array" aca="1" ref="A28" ca="1">INDEX(INDIRECT(VLOOKUP($C$4, RoomLocs!$A$2:$B$34,2,)),ROW()-4,COLUMN()) &amp; ""</f>
        <v>Screen</v>
      </c>
      <c r="B28" t="str" cm="1">
        <f t="array" aca="1" ref="B28" ca="1">INDEX(INDIRECT(VLOOKUP($C$4, RoomLocs!$A$2:$B$34,2,)),ROW()-4,COLUMN()) &amp; ""</f>
        <v>6</v>
      </c>
      <c r="D28" t="str">
        <f>_xlfn.XLOOKUP($C28,AssetLocs!$A$1:$ZX$1,AssetLocs!$A$2:$ZX$2,"") &amp; ""</f>
        <v/>
      </c>
      <c r="E28" t="str">
        <f>_xlfn.XLOOKUP($C28,AssetLocs!$A$1:$ZX$1,AssetLocs!$B$2:$ZY$2,"") &amp; ""</f>
        <v/>
      </c>
    </row>
    <row r="29" spans="1:5" x14ac:dyDescent="0.25">
      <c r="A29" t="str" cm="1">
        <f t="array" aca="1" ref="A29" ca="1">INDEX(INDIRECT(VLOOKUP($C$4, RoomLocs!$A$2:$B$34,2,)),ROW()-4,COLUMN()) &amp; ""</f>
        <v>Bed</v>
      </c>
      <c r="B29" t="str" cm="1">
        <f t="array" aca="1" ref="B29" ca="1">INDEX(INDIRECT(VLOOKUP($C$4, RoomLocs!$A$2:$B$34,2,)),ROW()-4,COLUMN()) &amp; ""</f>
        <v>4</v>
      </c>
      <c r="C29" t="s">
        <v>49</v>
      </c>
      <c r="D29" t="str">
        <f>_xlfn.XLOOKUP($C29,AssetLocs!$A$1:$ZX$1,AssetLocs!$A$2:$ZX$2,"") &amp; ""</f>
        <v/>
      </c>
      <c r="E29" t="str">
        <f>_xlfn.XLOOKUP($C29,AssetLocs!$A$1:$ZX$1,AssetLocs!$B$2:$ZY$2,"") &amp; ""</f>
        <v/>
      </c>
    </row>
    <row r="30" spans="1:5" x14ac:dyDescent="0.25">
      <c r="A30" t="str" cm="1">
        <f t="array" aca="1" ref="A30" ca="1">INDEX(INDIRECT(VLOOKUP($C$4, RoomLocs!$A$2:$B$34,2,)),ROW()-4,COLUMN()) &amp; ""</f>
        <v>Wall</v>
      </c>
      <c r="B30" t="str" cm="1">
        <f t="array" aca="1" ref="B30" ca="1">INDEX(INDIRECT(VLOOKUP($C$4, RoomLocs!$A$2:$B$34,2,)),ROW()-4,COLUMN()) &amp; ""</f>
        <v>4</v>
      </c>
      <c r="D30" t="str">
        <f>_xlfn.XLOOKUP($C30,AssetLocs!$A$1:$ZX$1,AssetLocs!$A$2:$ZX$2,"") &amp; ""</f>
        <v/>
      </c>
      <c r="E30" t="str">
        <f>_xlfn.XLOOKUP($C30,AssetLocs!$A$1:$ZX$1,AssetLocs!$B$2:$ZY$2,"") &amp; ""</f>
        <v/>
      </c>
    </row>
    <row r="31" spans="1:5" x14ac:dyDescent="0.25">
      <c r="A31" t="str" cm="1">
        <f t="array" aca="1" ref="A31" ca="1">INDEX(INDIRECT(VLOOKUP($C$4, RoomLocs!$A$2:$B$34,2,)),ROW()-4,COLUMN()) &amp; ""</f>
        <v>BedsideHead</v>
      </c>
      <c r="B31" t="str" cm="1">
        <f t="array" aca="1" ref="B31" ca="1">INDEX(INDIRECT(VLOOKUP($C$4, RoomLocs!$A$2:$B$34,2,)),ROW()-4,COLUMN()) &amp; ""</f>
        <v>4</v>
      </c>
      <c r="D31" t="str">
        <f>_xlfn.XLOOKUP($C31,AssetLocs!$A$1:$ZX$1,AssetLocs!$A$2:$ZX$2,"") &amp; ""</f>
        <v/>
      </c>
      <c r="E31" t="str">
        <f>_xlfn.XLOOKUP($C31,AssetLocs!$A$1:$ZX$1,AssetLocs!$B$2:$ZY$2,"") &amp; ""</f>
        <v/>
      </c>
    </row>
    <row r="32" spans="1:5" x14ac:dyDescent="0.25">
      <c r="A32" t="str" cm="1">
        <f t="array" aca="1" ref="A32" ca="1">INDEX(INDIRECT(VLOOKUP($C$4, RoomLocs!$A$2:$B$34,2,)),ROW()-4,COLUMN()) &amp; ""</f>
        <v>BedsideMid</v>
      </c>
      <c r="B32" t="str" cm="1">
        <f t="array" aca="1" ref="B32" ca="1">INDEX(INDIRECT(VLOOKUP($C$4, RoomLocs!$A$2:$B$34,2,)),ROW()-4,COLUMN()) &amp; ""</f>
        <v>4</v>
      </c>
      <c r="D32" t="str">
        <f>_xlfn.XLOOKUP($C32,AssetLocs!$A$1:$ZX$1,AssetLocs!$A$2:$ZX$2,"") &amp; ""</f>
        <v/>
      </c>
      <c r="E32" t="str">
        <f>_xlfn.XLOOKUP($C32,AssetLocs!$A$1:$ZX$1,AssetLocs!$B$2:$ZY$2,"") &amp; ""</f>
        <v/>
      </c>
    </row>
    <row r="33" spans="1:6" x14ac:dyDescent="0.25">
      <c r="A33" t="str" cm="1">
        <f t="array" aca="1" ref="A33" ca="1">INDEX(INDIRECT(VLOOKUP($C$4, RoomLocs!$A$2:$B$34,2,)),ROW()-4,COLUMN()) &amp; ""</f>
        <v>BedsideFoot</v>
      </c>
      <c r="B33" t="str" cm="1">
        <f t="array" aca="1" ref="B33" ca="1">INDEX(INDIRECT(VLOOKUP($C$4, RoomLocs!$A$2:$B$34,2,)),ROW()-4,COLUMN()) &amp; ""</f>
        <v>4</v>
      </c>
      <c r="D33" t="str">
        <f>_xlfn.XLOOKUP($C33,AssetLocs!$A$1:$ZX$1,AssetLocs!$A$2:$ZX$2,"") &amp; ""</f>
        <v/>
      </c>
      <c r="E33" t="str">
        <f>_xlfn.XLOOKUP($C33,AssetLocs!$A$1:$ZX$1,AssetLocs!$B$2:$ZY$2,"") &amp; ""</f>
        <v/>
      </c>
    </row>
    <row r="34" spans="1:6" x14ac:dyDescent="0.25">
      <c r="A34" t="str" cm="1">
        <f t="array" aca="1" ref="A34" ca="1">INDEX(INDIRECT(VLOOKUP($C$4, RoomLocs!$A$2:$B$34,2,)),ROW()-4,COLUMN()) &amp; ""</f>
        <v>Cart</v>
      </c>
      <c r="B34" t="str" cm="1">
        <f t="array" aca="1" ref="B34" ca="1">INDEX(INDIRECT(VLOOKUP($C$4, RoomLocs!$A$2:$B$34,2,)),ROW()-4,COLUMN()) &amp; ""</f>
        <v>4</v>
      </c>
      <c r="D34" t="str">
        <f>_xlfn.XLOOKUP($C34,AssetLocs!$A$1:$ZX$1,AssetLocs!$A$2:$ZX$2,"") &amp; ""</f>
        <v/>
      </c>
      <c r="E34" t="str">
        <f>_xlfn.XLOOKUP($C34,AssetLocs!$A$1:$ZX$1,AssetLocs!$B$2:$ZY$2,"") &amp; ""</f>
        <v/>
      </c>
    </row>
    <row r="35" spans="1:6" x14ac:dyDescent="0.25">
      <c r="A35" t="str" cm="1">
        <f t="array" aca="1" ref="A35" ca="1">INDEX(INDIRECT(VLOOKUP($C$4, RoomLocs!$A$2:$B$34,2,)),ROW()-4,COLUMN()) &amp; ""</f>
        <v>Screen</v>
      </c>
      <c r="B35" t="str" cm="1">
        <f t="array" aca="1" ref="B35" ca="1">INDEX(INDIRECT(VLOOKUP($C$4, RoomLocs!$A$2:$B$34,2,)),ROW()-4,COLUMN()) &amp; ""</f>
        <v>7</v>
      </c>
      <c r="D35" t="str">
        <f>_xlfn.XLOOKUP($C35,AssetLocs!$A$1:$ZX$1,AssetLocs!$A$2:$ZX$2,"") &amp; ""</f>
        <v/>
      </c>
      <c r="E35" t="str">
        <f>_xlfn.XLOOKUP($C35,AssetLocs!$A$1:$ZX$1,AssetLocs!$B$2:$ZY$2,"") &amp; ""</f>
        <v/>
      </c>
    </row>
    <row r="36" spans="1:6" x14ac:dyDescent="0.25">
      <c r="A36" t="str" cm="1">
        <f t="array" aca="1" ref="A36" ca="1">INDEX(INDIRECT(VLOOKUP($C$4, RoomLocs!$A$2:$B$34,2,)),ROW()-4,COLUMN()) &amp; ""</f>
        <v>Screen</v>
      </c>
      <c r="B36" t="str" cm="1">
        <f t="array" aca="1" ref="B36" ca="1">INDEX(INDIRECT(VLOOKUP($C$4, RoomLocs!$A$2:$B$34,2,)),ROW()-4,COLUMN()) &amp; ""</f>
        <v>8</v>
      </c>
      <c r="D36" t="str">
        <f>_xlfn.XLOOKUP($C36,AssetLocs!$A$1:$ZX$1,AssetLocs!$A$2:$ZX$2,"") &amp; ""</f>
        <v/>
      </c>
      <c r="E36" t="str">
        <f>_xlfn.XLOOKUP($C36,AssetLocs!$A$1:$ZX$1,AssetLocs!$B$2:$ZY$2,"") &amp; ""</f>
        <v/>
      </c>
    </row>
    <row r="37" spans="1:6" x14ac:dyDescent="0.25">
      <c r="A37" t="str" cm="1">
        <f t="array" aca="1" ref="A37" ca="1">INDEX(INDIRECT(VLOOKUP($C$4, RoomLocs!$A$2:$B$34,2,)),ROW()-4,COLUMN()) &amp; ""</f>
        <v>Bed</v>
      </c>
      <c r="B37" t="str" cm="1">
        <f t="array" aca="1" ref="B37" ca="1">INDEX(INDIRECT(VLOOKUP($C$4, RoomLocs!$A$2:$B$34,2,)),ROW()-4,COLUMN()) &amp; ""</f>
        <v>5</v>
      </c>
      <c r="C37" t="s">
        <v>49</v>
      </c>
      <c r="D37" t="str">
        <f>_xlfn.XLOOKUP($C37,AssetLocs!$A$1:$ZX$1,AssetLocs!$A$2:$ZX$2,"") &amp; ""</f>
        <v/>
      </c>
      <c r="E37" t="str">
        <f>_xlfn.XLOOKUP($C37,AssetLocs!$A$1:$ZX$1,AssetLocs!$B$2:$ZY$2,"") &amp; ""</f>
        <v/>
      </c>
    </row>
    <row r="38" spans="1:6" x14ac:dyDescent="0.25">
      <c r="A38" t="str" cm="1">
        <f t="array" aca="1" ref="A38" ca="1">INDEX(INDIRECT(VLOOKUP($C$4, RoomLocs!$A$2:$B$34,2,)),ROW()-4,COLUMN()) &amp; ""</f>
        <v>Wall</v>
      </c>
      <c r="B38" t="str" cm="1">
        <f t="array" aca="1" ref="B38" ca="1">INDEX(INDIRECT(VLOOKUP($C$4, RoomLocs!$A$2:$B$34,2,)),ROW()-4,COLUMN()) &amp; ""</f>
        <v>5</v>
      </c>
      <c r="C38" t="s">
        <v>36</v>
      </c>
      <c r="D38" t="str">
        <f>_xlfn.XLOOKUP($C38,AssetLocs!$A$1:$ZX$1,AssetLocs!$A$2:$ZX$2,"") &amp; ""</f>
        <v/>
      </c>
      <c r="E38" t="str">
        <f>_xlfn.XLOOKUP($C38,AssetLocs!$A$1:$ZX$1,AssetLocs!$B$2:$ZY$2,"") &amp; ""</f>
        <v/>
      </c>
    </row>
    <row r="39" spans="1:6" x14ac:dyDescent="0.25">
      <c r="A39" t="str" cm="1">
        <f t="array" aca="1" ref="A39" ca="1">INDEX(INDIRECT(VLOOKUP($C$4, RoomLocs!$A$2:$B$34,2,)),ROW()-4,COLUMN()) &amp; ""</f>
        <v>BedsideHead</v>
      </c>
      <c r="B39" t="str" cm="1">
        <f t="array" aca="1" ref="B39" ca="1">INDEX(INDIRECT(VLOOKUP($C$4, RoomLocs!$A$2:$B$34,2,)),ROW()-4,COLUMN()) &amp; ""</f>
        <v>5</v>
      </c>
      <c r="C39" t="s">
        <v>47</v>
      </c>
      <c r="D39" t="str">
        <f>_xlfn.XLOOKUP($C39,AssetLocs!$A$1:$ZX$1,AssetLocs!$A$2:$ZX$2,"") &amp; ""</f>
        <v>InfusionBag</v>
      </c>
      <c r="E39" t="str">
        <f>_xlfn.XLOOKUP($C39,AssetLocs!$A$1:$ZX$1,AssetLocs!$B$2:$ZY$2,"") &amp; ""</f>
        <v>1</v>
      </c>
      <c r="F39" t="s">
        <v>46</v>
      </c>
    </row>
    <row r="40" spans="1:6" x14ac:dyDescent="0.25">
      <c r="A40" t="str" cm="1">
        <f t="array" aca="1" ref="A40" ca="1">INDEX(INDIRECT(VLOOKUP($C$4, RoomLocs!$A$2:$B$34,2,)),ROW()-4,COLUMN()) &amp; ""</f>
        <v>BedsideMid</v>
      </c>
      <c r="B40" t="str" cm="1">
        <f t="array" aca="1" ref="B40" ca="1">INDEX(INDIRECT(VLOOKUP($C$4, RoomLocs!$A$2:$B$34,2,)),ROW()-4,COLUMN()) &amp; ""</f>
        <v>5</v>
      </c>
      <c r="D40" t="str">
        <f>_xlfn.XLOOKUP($C40,AssetLocs!$A$1:$ZX$1,AssetLocs!$A$2:$ZX$2,"") &amp; ""</f>
        <v/>
      </c>
      <c r="E40" t="str">
        <f>_xlfn.XLOOKUP($C40,AssetLocs!$A$1:$ZX$1,AssetLocs!$B$2:$ZY$2,"") &amp; ""</f>
        <v/>
      </c>
    </row>
    <row r="41" spans="1:6" x14ac:dyDescent="0.25">
      <c r="A41" t="str" cm="1">
        <f t="array" aca="1" ref="A41" ca="1">INDEX(INDIRECT(VLOOKUP($C$4, RoomLocs!$A$2:$B$34,2,)),ROW()-4,COLUMN()) &amp; ""</f>
        <v>BedsideFoot</v>
      </c>
      <c r="B41" t="str" cm="1">
        <f t="array" aca="1" ref="B41" ca="1">INDEX(INDIRECT(VLOOKUP($C$4, RoomLocs!$A$2:$B$34,2,)),ROW()-4,COLUMN()) &amp; ""</f>
        <v>5</v>
      </c>
      <c r="D41" t="str">
        <f>_xlfn.XLOOKUP($C41,AssetLocs!$A$1:$ZX$1,AssetLocs!$A$2:$ZX$2,"") &amp; ""</f>
        <v/>
      </c>
      <c r="E41" t="str">
        <f>_xlfn.XLOOKUP($C41,AssetLocs!$A$1:$ZX$1,AssetLocs!$B$2:$ZY$2,"") &amp; ""</f>
        <v/>
      </c>
    </row>
    <row r="42" spans="1:6" x14ac:dyDescent="0.25">
      <c r="A42" t="str" cm="1">
        <f t="array" aca="1" ref="A42" ca="1">INDEX(INDIRECT(VLOOKUP($C$4, RoomLocs!$A$2:$B$34,2,)),ROW()-4,COLUMN()) &amp; ""</f>
        <v>Cart</v>
      </c>
      <c r="B42" t="str" cm="1">
        <f t="array" aca="1" ref="B42" ca="1">INDEX(INDIRECT(VLOOKUP($C$4, RoomLocs!$A$2:$B$34,2,)),ROW()-4,COLUMN()) &amp; ""</f>
        <v>5</v>
      </c>
      <c r="C42" t="s">
        <v>33</v>
      </c>
      <c r="D42" t="str">
        <f>_xlfn.XLOOKUP($C42,AssetLocs!$A$1:$ZX$1,AssetLocs!$A$2:$ZX$2,"") &amp; ""</f>
        <v/>
      </c>
      <c r="E42" t="str">
        <f>_xlfn.XLOOKUP($C42,AssetLocs!$A$1:$ZX$1,AssetLocs!$B$2:$ZY$2,"") &amp; ""</f>
        <v/>
      </c>
    </row>
    <row r="43" spans="1:6" x14ac:dyDescent="0.25">
      <c r="A43" t="str" cm="1">
        <f t="array" aca="1" ref="A43" ca="1">INDEX(INDIRECT(VLOOKUP($C$4, RoomLocs!$A$2:$B$34,2,)),ROW()-4,COLUMN()) &amp; ""</f>
        <v>Screen</v>
      </c>
      <c r="B43" t="str" cm="1">
        <f t="array" aca="1" ref="B43" ca="1">INDEX(INDIRECT(VLOOKUP($C$4, RoomLocs!$A$2:$B$34,2,)),ROW()-4,COLUMN()) &amp; ""</f>
        <v>9</v>
      </c>
      <c r="D43" t="str">
        <f>_xlfn.XLOOKUP($C43,AssetLocs!$A$1:$ZX$1,AssetLocs!$A$2:$ZX$2,"") &amp; ""</f>
        <v/>
      </c>
      <c r="E43" t="str">
        <f>_xlfn.XLOOKUP($C43,AssetLocs!$A$1:$ZX$1,AssetLocs!$B$2:$ZY$2,"") &amp; ""</f>
        <v/>
      </c>
    </row>
    <row r="44" spans="1:6" x14ac:dyDescent="0.25">
      <c r="A44" t="str" cm="1">
        <f t="array" aca="1" ref="A44" ca="1">INDEX(INDIRECT(VLOOKUP($C$4, RoomLocs!$A$2:$B$34,2,)),ROW()-4,COLUMN()) &amp; ""</f>
        <v>Screen</v>
      </c>
      <c r="B44" t="str" cm="1">
        <f t="array" aca="1" ref="B44" ca="1">INDEX(INDIRECT(VLOOKUP($C$4, RoomLocs!$A$2:$B$34,2,)),ROW()-4,COLUMN()) &amp; ""</f>
        <v>10</v>
      </c>
      <c r="D44" t="str">
        <f>_xlfn.XLOOKUP($C44,AssetLocs!$A$1:$ZX$1,AssetLocs!$A$2:$ZX$2,"") &amp; ""</f>
        <v/>
      </c>
      <c r="E44" t="str">
        <f>_xlfn.XLOOKUP($C44,AssetLocs!$A$1:$ZX$1,AssetLocs!$B$2:$ZY$2,"") &amp; ""</f>
        <v/>
      </c>
    </row>
    <row r="45" spans="1:6" x14ac:dyDescent="0.25">
      <c r="A45" t="str" cm="1">
        <f t="array" aca="1" ref="A45" ca="1">INDEX(INDIRECT(VLOOKUP($C$4, RoomLocs!$A$2:$B$34,2,)),ROW()-4,COLUMN()) &amp; ""</f>
        <v>Bed</v>
      </c>
      <c r="B45" t="str" cm="1">
        <f t="array" aca="1" ref="B45" ca="1">INDEX(INDIRECT(VLOOKUP($C$4, RoomLocs!$A$2:$B$34,2,)),ROW()-4,COLUMN()) &amp; ""</f>
        <v>6</v>
      </c>
      <c r="C45" t="s">
        <v>49</v>
      </c>
      <c r="D45" t="str">
        <f>_xlfn.XLOOKUP($C45,AssetLocs!$A$1:$ZX$1,AssetLocs!$A$2:$ZX$2,"") &amp; ""</f>
        <v/>
      </c>
      <c r="E45" t="str">
        <f>_xlfn.XLOOKUP($C45,AssetLocs!$A$1:$ZX$1,AssetLocs!$B$2:$ZY$2,"") &amp; ""</f>
        <v/>
      </c>
    </row>
    <row r="46" spans="1:6" x14ac:dyDescent="0.25">
      <c r="A46" t="str" cm="1">
        <f t="array" aca="1" ref="A46" ca="1">INDEX(INDIRECT(VLOOKUP($C$4, RoomLocs!$A$2:$B$34,2,)),ROW()-4,COLUMN()) &amp; ""</f>
        <v>Wall</v>
      </c>
      <c r="B46" t="str" cm="1">
        <f t="array" aca="1" ref="B46" ca="1">INDEX(INDIRECT(VLOOKUP($C$4, RoomLocs!$A$2:$B$34,2,)),ROW()-4,COLUMN()) &amp; ""</f>
        <v>6</v>
      </c>
      <c r="D46" t="str">
        <f>_xlfn.XLOOKUP($C46,AssetLocs!$A$1:$ZX$1,AssetLocs!$A$2:$ZX$2,"") &amp; ""</f>
        <v/>
      </c>
      <c r="E46" t="str">
        <f>_xlfn.XLOOKUP($C46,AssetLocs!$A$1:$ZX$1,AssetLocs!$B$2:$ZY$2,"") &amp; ""</f>
        <v/>
      </c>
    </row>
    <row r="47" spans="1:6" x14ac:dyDescent="0.25">
      <c r="A47" t="str" cm="1">
        <f t="array" aca="1" ref="A47" ca="1">INDEX(INDIRECT(VLOOKUP($C$4, RoomLocs!$A$2:$B$34,2,)),ROW()-4,COLUMN()) &amp; ""</f>
        <v>BedsideHead</v>
      </c>
      <c r="B47" t="str" cm="1">
        <f t="array" aca="1" ref="B47" ca="1">INDEX(INDIRECT(VLOOKUP($C$4, RoomLocs!$A$2:$B$34,2,)),ROW()-4,COLUMN()) &amp; ""</f>
        <v>6</v>
      </c>
      <c r="D47" t="str">
        <f>_xlfn.XLOOKUP($C47,AssetLocs!$A$1:$ZX$1,AssetLocs!$A$2:$ZX$2,"") &amp; ""</f>
        <v/>
      </c>
      <c r="E47" t="str">
        <f>_xlfn.XLOOKUP($C47,AssetLocs!$A$1:$ZX$1,AssetLocs!$B$2:$ZY$2,"") &amp; ""</f>
        <v/>
      </c>
    </row>
    <row r="48" spans="1:6" x14ac:dyDescent="0.25">
      <c r="A48" t="str" cm="1">
        <f t="array" aca="1" ref="A48" ca="1">INDEX(INDIRECT(VLOOKUP($C$4, RoomLocs!$A$2:$B$34,2,)),ROW()-4,COLUMN()) &amp; ""</f>
        <v>BedsideMid</v>
      </c>
      <c r="B48" t="str" cm="1">
        <f t="array" aca="1" ref="B48" ca="1">INDEX(INDIRECT(VLOOKUP($C$4, RoomLocs!$A$2:$B$34,2,)),ROW()-4,COLUMN()) &amp; ""</f>
        <v>6</v>
      </c>
      <c r="D48" t="str">
        <f>_xlfn.XLOOKUP($C48,AssetLocs!$A$1:$ZX$1,AssetLocs!$A$2:$ZX$2,"") &amp; ""</f>
        <v/>
      </c>
      <c r="E48" t="str">
        <f>_xlfn.XLOOKUP($C48,AssetLocs!$A$1:$ZX$1,AssetLocs!$B$2:$ZY$2,"") &amp; ""</f>
        <v/>
      </c>
    </row>
    <row r="49" spans="1:5" x14ac:dyDescent="0.25">
      <c r="A49" t="str" cm="1">
        <f t="array" aca="1" ref="A49" ca="1">INDEX(INDIRECT(VLOOKUP($C$4, RoomLocs!$A$2:$B$34,2,)),ROW()-4,COLUMN()) &amp; ""</f>
        <v>BedsideFoot</v>
      </c>
      <c r="B49" t="str" cm="1">
        <f t="array" aca="1" ref="B49" ca="1">INDEX(INDIRECT(VLOOKUP($C$4, RoomLocs!$A$2:$B$34,2,)),ROW()-4,COLUMN()) &amp; ""</f>
        <v>6</v>
      </c>
      <c r="D49" t="str">
        <f>_xlfn.XLOOKUP($C49,AssetLocs!$A$1:$ZX$1,AssetLocs!$A$2:$ZX$2,"") &amp; ""</f>
        <v/>
      </c>
      <c r="E49" t="str">
        <f>_xlfn.XLOOKUP($C49,AssetLocs!$A$1:$ZX$1,AssetLocs!$B$2:$ZY$2,"") &amp; ""</f>
        <v/>
      </c>
    </row>
    <row r="50" spans="1:5" x14ac:dyDescent="0.25">
      <c r="A50" t="str" cm="1">
        <f t="array" aca="1" ref="A50" ca="1">INDEX(INDIRECT(VLOOKUP($C$4, RoomLocs!$A$2:$B$34,2,)),ROW()-4,COLUMN()) &amp; ""</f>
        <v>Cart</v>
      </c>
      <c r="B50" t="str" cm="1">
        <f t="array" aca="1" ref="B50" ca="1">INDEX(INDIRECT(VLOOKUP($C$4, RoomLocs!$A$2:$B$34,2,)),ROW()-4,COLUMN()) &amp; ""</f>
        <v>6</v>
      </c>
      <c r="D50" t="str">
        <f>_xlfn.XLOOKUP($C50,AssetLocs!$A$1:$ZX$1,AssetLocs!$A$2:$ZX$2,"") &amp; ""</f>
        <v/>
      </c>
      <c r="E50" t="str">
        <f>_xlfn.XLOOKUP($C50,AssetLocs!$A$1:$ZX$1,AssetLocs!$B$2:$ZY$2,"") &amp; ""</f>
        <v/>
      </c>
    </row>
    <row r="51" spans="1:5" x14ac:dyDescent="0.25">
      <c r="A51" t="str" cm="1">
        <f t="array" aca="1" ref="A51" ca="1">INDEX(INDIRECT(VLOOKUP($C$4, RoomLocs!$A$2:$B$34,2,)),ROW()-4,COLUMN()) &amp; ""</f>
        <v>Screen</v>
      </c>
      <c r="B51" t="str" cm="1">
        <f t="array" aca="1" ref="B51" ca="1">INDEX(INDIRECT(VLOOKUP($C$4, RoomLocs!$A$2:$B$34,2,)),ROW()-4,COLUMN()) &amp; ""</f>
        <v>11</v>
      </c>
      <c r="C51" t="s">
        <v>38</v>
      </c>
      <c r="D51" t="str">
        <f>_xlfn.XLOOKUP($C51,AssetLocs!$A$1:$ZX$1,AssetLocs!$A$2:$ZX$2,"") &amp; ""</f>
        <v/>
      </c>
      <c r="E51" t="str">
        <f>_xlfn.XLOOKUP($C51,AssetLocs!$A$1:$ZX$1,AssetLocs!$B$2:$ZY$2,"") &amp; ""</f>
        <v/>
      </c>
    </row>
    <row r="52" spans="1:5" x14ac:dyDescent="0.25">
      <c r="A52" t="str" cm="1">
        <f t="array" aca="1" ref="A52" ca="1">INDEX(INDIRECT(VLOOKUP($C$4, RoomLocs!$A$2:$B$34,2,)),ROW()-4,COLUMN()) &amp; ""</f>
        <v>Screen</v>
      </c>
      <c r="B52" t="str" cm="1">
        <f t="array" aca="1" ref="B52" ca="1">INDEX(INDIRECT(VLOOKUP($C$4, RoomLocs!$A$2:$B$34,2,)),ROW()-4,COLUMN()) &amp; ""</f>
        <v>12</v>
      </c>
      <c r="C52" t="s">
        <v>38</v>
      </c>
      <c r="D52" t="str">
        <f>_xlfn.XLOOKUP($C52,AssetLocs!$A$1:$ZX$1,AssetLocs!$A$2:$ZX$2,"") &amp; ""</f>
        <v/>
      </c>
      <c r="E52" t="str">
        <f>_xlfn.XLOOKUP($C52,AssetLocs!$A$1:$ZX$1,AssetLocs!$B$2:$ZY$2,"") &amp; ""</f>
        <v/>
      </c>
    </row>
    <row r="53" spans="1:5" x14ac:dyDescent="0.25">
      <c r="A53" t="str" cm="1">
        <f t="array" aca="1" ref="A53" ca="1">INDEX(INDIRECT(VLOOKUP($C$4, RoomLocs!$A$2:$B$34,2,)),ROW()-4,COLUMN()) &amp; ""</f>
        <v/>
      </c>
      <c r="B53" t="str" cm="1">
        <f t="array" aca="1" ref="B53" ca="1">INDEX(INDIRECT(VLOOKUP($C$4, RoomLocs!$A$2:$B$34,2,)),ROW()-4,COLUMN()) &amp; ""</f>
        <v/>
      </c>
      <c r="D53" t="str">
        <f>_xlfn.XLOOKUP($C53,AssetLocs!$A$1:$ZX$1,AssetLocs!$A$2:$ZX$2,"") &amp; ""</f>
        <v/>
      </c>
      <c r="E53" t="str">
        <f>_xlfn.XLOOKUP($C53,AssetLocs!$A$1:$ZX$1,AssetLocs!$B$2:$ZY$2,"") &amp; ""</f>
        <v/>
      </c>
    </row>
    <row r="54" spans="1:5" x14ac:dyDescent="0.25">
      <c r="A54" t="str" cm="1">
        <f t="array" aca="1" ref="A54" ca="1">INDEX(INDIRECT(VLOOKUP($C$4, RoomLocs!$A$2:$B$34,2,)),ROW()-4,COLUMN()) &amp; ""</f>
        <v/>
      </c>
      <c r="B54" t="str" cm="1">
        <f t="array" aca="1" ref="B54" ca="1">INDEX(INDIRECT(VLOOKUP($C$4, RoomLocs!$A$2:$B$34,2,)),ROW()-4,COLUMN()) &amp; ""</f>
        <v/>
      </c>
      <c r="D54" t="str">
        <f>_xlfn.XLOOKUP($C54,AssetLocs!$A$1:$ZX$1,AssetLocs!$A$2:$ZX$2,"") &amp; ""</f>
        <v/>
      </c>
      <c r="E54" t="str">
        <f>_xlfn.XLOOKUP($C54,AssetLocs!$A$1:$ZX$1,AssetLocs!$B$2:$ZY$2,"") &amp; ""</f>
        <v/>
      </c>
    </row>
    <row r="55" spans="1:5" x14ac:dyDescent="0.25">
      <c r="A55" t="str" cm="1">
        <f t="array" aca="1" ref="A55" ca="1">INDEX(INDIRECT(VLOOKUP($C$4, RoomLocs!$A$2:$B$34,2,)),ROW()-4,COLUMN()) &amp; ""</f>
        <v/>
      </c>
      <c r="B55" t="str" cm="1">
        <f t="array" aca="1" ref="B55" ca="1">INDEX(INDIRECT(VLOOKUP($C$4, RoomLocs!$A$2:$B$34,2,)),ROW()-4,COLUMN()) &amp; ""</f>
        <v/>
      </c>
      <c r="D55" t="str">
        <f>_xlfn.XLOOKUP($C55,AssetLocs!$A$1:$ZX$1,AssetLocs!$A$2:$ZX$2,"") &amp; ""</f>
        <v/>
      </c>
      <c r="E55" t="str">
        <f>_xlfn.XLOOKUP($C55,AssetLocs!$A$1:$ZX$1,AssetLocs!$B$2:$ZY$2,"") &amp; ""</f>
        <v/>
      </c>
    </row>
    <row r="56" spans="1:5" x14ac:dyDescent="0.25">
      <c r="A56" t="str" cm="1">
        <f t="array" aca="1" ref="A56" ca="1">INDEX(INDIRECT(VLOOKUP($C$4, RoomLocs!$A$2:$B$34,2,)),ROW()-4,COLUMN()) &amp; ""</f>
        <v/>
      </c>
      <c r="B56" t="str" cm="1">
        <f t="array" aca="1" ref="B56" ca="1">INDEX(INDIRECT(VLOOKUP($C$4, RoomLocs!$A$2:$B$34,2,)),ROW()-4,COLUMN()) &amp; ""</f>
        <v/>
      </c>
      <c r="D56" t="str">
        <f>_xlfn.XLOOKUP($C56,AssetLocs!$A$1:$ZX$1,AssetLocs!$A$2:$ZX$2,"") &amp; ""</f>
        <v/>
      </c>
      <c r="E56" t="str">
        <f>_xlfn.XLOOKUP($C56,AssetLocs!$A$1:$ZX$1,AssetLocs!$B$2:$ZY$2,"") &amp; ""</f>
        <v/>
      </c>
    </row>
    <row r="57" spans="1:5" x14ac:dyDescent="0.25">
      <c r="A57" t="str" cm="1">
        <f t="array" aca="1" ref="A57" ca="1">INDEX(INDIRECT(VLOOKUP($C$4, RoomLocs!$A$2:$B$34,2,)),ROW()-4,COLUMN()) &amp; ""</f>
        <v/>
      </c>
      <c r="B57" t="str" cm="1">
        <f t="array" aca="1" ref="B57" ca="1">INDEX(INDIRECT(VLOOKUP($C$4, RoomLocs!$A$2:$B$34,2,)),ROW()-4,COLUMN()) &amp; ""</f>
        <v/>
      </c>
      <c r="D57" t="str">
        <f>_xlfn.XLOOKUP($C57,AssetLocs!$A$1:$ZX$1,AssetLocs!$A$2:$ZX$2,"") &amp; ""</f>
        <v/>
      </c>
      <c r="E57" t="str">
        <f>_xlfn.XLOOKUP($C57,AssetLocs!$A$1:$ZX$1,AssetLocs!$B$2:$ZY$2,"") &amp; ""</f>
        <v/>
      </c>
    </row>
    <row r="58" spans="1:5" x14ac:dyDescent="0.25">
      <c r="A58" t="str" cm="1">
        <f t="array" aca="1" ref="A58" ca="1">INDEX(INDIRECT(VLOOKUP($C$4, RoomLocs!$A$2:$B$34,2,)),ROW()-4,COLUMN()) &amp; ""</f>
        <v/>
      </c>
      <c r="B58" t="str" cm="1">
        <f t="array" aca="1" ref="B58" ca="1">INDEX(INDIRECT(VLOOKUP($C$4, RoomLocs!$A$2:$B$34,2,)),ROW()-4,COLUMN()) &amp; ""</f>
        <v/>
      </c>
      <c r="D58" t="str">
        <f>_xlfn.XLOOKUP($C58,AssetLocs!$A$1:$ZX$1,AssetLocs!$A$2:$ZX$2,"") &amp; ""</f>
        <v/>
      </c>
      <c r="E58" t="str">
        <f>_xlfn.XLOOKUP($C58,AssetLocs!$A$1:$ZX$1,AssetLocs!$B$2:$ZY$2,"") &amp; ""</f>
        <v/>
      </c>
    </row>
    <row r="59" spans="1:5" x14ac:dyDescent="0.25">
      <c r="A59" t="str" cm="1">
        <f t="array" aca="1" ref="A59" ca="1">INDEX(INDIRECT(VLOOKUP($C$4, RoomLocs!$A$2:$B$34,2,)),ROW()-4,COLUMN()) &amp; ""</f>
        <v/>
      </c>
      <c r="B59" t="str" cm="1">
        <f t="array" aca="1" ref="B59" ca="1">INDEX(INDIRECT(VLOOKUP($C$4, RoomLocs!$A$2:$B$34,2,)),ROW()-4,COLUMN()) &amp; ""</f>
        <v/>
      </c>
      <c r="D59" t="str">
        <f>_xlfn.XLOOKUP($C59,AssetLocs!$A$1:$ZX$1,AssetLocs!$A$2:$ZX$2,"") &amp; ""</f>
        <v/>
      </c>
      <c r="E59" t="str">
        <f>_xlfn.XLOOKUP($C59,AssetLocs!$A$1:$ZX$1,AssetLocs!$B$2:$ZY$2,"") &amp; ""</f>
        <v/>
      </c>
    </row>
    <row r="60" spans="1:5" x14ac:dyDescent="0.25">
      <c r="A60" t="str" cm="1">
        <f t="array" aca="1" ref="A60" ca="1">INDEX(INDIRECT(VLOOKUP($C$4, RoomLocs!$A$2:$B$34,2,)),ROW()-4,COLUMN()) &amp; ""</f>
        <v/>
      </c>
      <c r="B60" t="str" cm="1">
        <f t="array" aca="1" ref="B60" ca="1">INDEX(INDIRECT(VLOOKUP($C$4, RoomLocs!$A$2:$B$34,2,)),ROW()-4,COLUMN()) &amp; ""</f>
        <v/>
      </c>
      <c r="D60" t="str">
        <f>_xlfn.XLOOKUP($C60,AssetLocs!$A$1:$ZX$1,AssetLocs!$A$2:$ZX$2,"") &amp; ""</f>
        <v/>
      </c>
      <c r="E60" t="str">
        <f>_xlfn.XLOOKUP($C60,AssetLocs!$A$1:$ZX$1,AssetLocs!$B$2:$ZY$2,"") &amp; ""</f>
        <v/>
      </c>
    </row>
  </sheetData>
  <dataValidations count="3">
    <dataValidation showInputMessage="1" showErrorMessage="1" sqref="D5:E60" xr:uid="{3509C3F7-8B53-402E-BFA8-9FBA6259D8B3}"/>
    <dataValidation type="list" allowBlank="1" showInputMessage="1" showErrorMessage="1" sqref="F5:F60" xr:uid="{78B7204C-DFE8-428A-AEB3-A7BE5F7E57FD}">
      <formula1>INDIRECT($D5)</formula1>
    </dataValidation>
    <dataValidation type="list" showInputMessage="1" showErrorMessage="1" sqref="C5:C60" xr:uid="{5BB298AB-B2D2-4E28-B1E8-5EC2239AFD36}">
      <formula1>INDIRECT(A5)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RoomLocs!$A$2:$A$30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J50"/>
  <sheetViews>
    <sheetView workbookViewId="0">
      <selection activeCell="A11" sqref="A11"/>
    </sheetView>
  </sheetViews>
  <sheetFormatPr defaultRowHeight="15" x14ac:dyDescent="0.25"/>
  <cols>
    <col min="1" max="1" width="22.7109375" bestFit="1" customWidth="1"/>
    <col min="2" max="2" width="27.28515625" bestFit="1" customWidth="1"/>
    <col min="3" max="3" width="20.28515625" bestFit="1" customWidth="1"/>
    <col min="4" max="4" width="20.28515625" customWidth="1"/>
    <col min="5" max="5" width="20.5703125" bestFit="1" customWidth="1"/>
    <col min="6" max="6" width="22.42578125" bestFit="1" customWidth="1"/>
    <col min="7" max="7" width="20.5703125" bestFit="1" customWidth="1"/>
    <col min="9" max="9" width="21.42578125" bestFit="1" customWidth="1"/>
  </cols>
  <sheetData>
    <row r="1" spans="1:10" s="1" customFormat="1" ht="15.75" thickBot="1" x14ac:dyDescent="0.3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0" x14ac:dyDescent="0.25">
      <c r="E2" s="2" t="s">
        <v>3</v>
      </c>
      <c r="G2" t="s">
        <v>17</v>
      </c>
      <c r="I2" t="s">
        <v>61</v>
      </c>
    </row>
    <row r="3" spans="1:10" x14ac:dyDescent="0.25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</row>
    <row r="4" spans="1:10" x14ac:dyDescent="0.25"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</row>
    <row r="5" spans="1:10" x14ac:dyDescent="0.25"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</row>
    <row r="6" spans="1:10" x14ac:dyDescent="0.25">
      <c r="A6" t="s">
        <v>17</v>
      </c>
      <c r="B6" t="s">
        <v>18</v>
      </c>
      <c r="E6" t="s">
        <v>57</v>
      </c>
      <c r="F6">
        <v>1</v>
      </c>
      <c r="G6" t="s">
        <v>57</v>
      </c>
      <c r="H6">
        <v>1</v>
      </c>
      <c r="I6" t="s">
        <v>57</v>
      </c>
      <c r="J6">
        <v>1</v>
      </c>
    </row>
    <row r="7" spans="1:10" x14ac:dyDescent="0.25">
      <c r="A7" t="s">
        <v>2</v>
      </c>
      <c r="B7" t="s">
        <v>12</v>
      </c>
      <c r="E7" t="s">
        <v>58</v>
      </c>
      <c r="F7">
        <v>1</v>
      </c>
      <c r="G7" t="s">
        <v>58</v>
      </c>
      <c r="H7">
        <v>1</v>
      </c>
      <c r="I7" t="s">
        <v>58</v>
      </c>
      <c r="J7">
        <v>1</v>
      </c>
    </row>
    <row r="8" spans="1:10" x14ac:dyDescent="0.25">
      <c r="A8" t="s">
        <v>4</v>
      </c>
      <c r="B8" t="s">
        <v>14</v>
      </c>
      <c r="E8" t="s">
        <v>40</v>
      </c>
      <c r="F8">
        <v>1</v>
      </c>
      <c r="G8" t="s">
        <v>40</v>
      </c>
      <c r="H8">
        <v>1</v>
      </c>
      <c r="I8" t="s">
        <v>40</v>
      </c>
      <c r="J8">
        <v>1</v>
      </c>
    </row>
    <row r="9" spans="1:10" x14ac:dyDescent="0.25">
      <c r="A9" t="s">
        <v>3</v>
      </c>
      <c r="B9" t="s">
        <v>13</v>
      </c>
      <c r="E9" t="s">
        <v>10</v>
      </c>
      <c r="F9">
        <v>1</v>
      </c>
      <c r="G9" t="s">
        <v>10</v>
      </c>
      <c r="H9">
        <v>1</v>
      </c>
      <c r="I9" t="s">
        <v>10</v>
      </c>
      <c r="J9">
        <v>1</v>
      </c>
    </row>
    <row r="10" spans="1:10" x14ac:dyDescent="0.25">
      <c r="A10" t="s">
        <v>1</v>
      </c>
      <c r="B10" t="s">
        <v>15</v>
      </c>
      <c r="E10" t="s">
        <v>10</v>
      </c>
      <c r="F10">
        <v>2</v>
      </c>
      <c r="G10" t="s">
        <v>10</v>
      </c>
      <c r="H10">
        <v>2</v>
      </c>
      <c r="I10" t="s">
        <v>10</v>
      </c>
      <c r="J10">
        <v>2</v>
      </c>
    </row>
    <row r="11" spans="1:10" x14ac:dyDescent="0.25">
      <c r="A11" t="s">
        <v>63</v>
      </c>
      <c r="B11" t="s">
        <v>62</v>
      </c>
      <c r="E11" t="s">
        <v>8</v>
      </c>
      <c r="F11">
        <v>2</v>
      </c>
      <c r="G11" t="s">
        <v>8</v>
      </c>
      <c r="H11">
        <v>2</v>
      </c>
      <c r="I11" t="s">
        <v>8</v>
      </c>
      <c r="J11">
        <v>2</v>
      </c>
    </row>
    <row r="12" spans="1:10" x14ac:dyDescent="0.25">
      <c r="E12" t="s">
        <v>9</v>
      </c>
      <c r="F12">
        <v>2</v>
      </c>
      <c r="G12" t="s">
        <v>9</v>
      </c>
      <c r="H12">
        <v>2</v>
      </c>
      <c r="I12" t="s">
        <v>9</v>
      </c>
      <c r="J12">
        <v>2</v>
      </c>
    </row>
    <row r="13" spans="1:10" x14ac:dyDescent="0.25">
      <c r="E13" t="s">
        <v>56</v>
      </c>
      <c r="F13">
        <v>2</v>
      </c>
      <c r="G13" t="s">
        <v>56</v>
      </c>
      <c r="H13">
        <v>2</v>
      </c>
      <c r="I13" t="s">
        <v>56</v>
      </c>
      <c r="J13">
        <v>2</v>
      </c>
    </row>
    <row r="14" spans="1:10" x14ac:dyDescent="0.25">
      <c r="E14" t="s">
        <v>57</v>
      </c>
      <c r="F14">
        <v>2</v>
      </c>
      <c r="G14" t="s">
        <v>57</v>
      </c>
      <c r="H14">
        <v>2</v>
      </c>
      <c r="I14" t="s">
        <v>57</v>
      </c>
      <c r="J14">
        <v>2</v>
      </c>
    </row>
    <row r="15" spans="1:10" x14ac:dyDescent="0.25">
      <c r="E15" t="s">
        <v>58</v>
      </c>
      <c r="F15">
        <v>2</v>
      </c>
      <c r="G15" t="s">
        <v>58</v>
      </c>
      <c r="H15">
        <v>2</v>
      </c>
      <c r="I15" t="s">
        <v>58</v>
      </c>
      <c r="J15">
        <v>2</v>
      </c>
    </row>
    <row r="16" spans="1:10" x14ac:dyDescent="0.25">
      <c r="E16" t="s">
        <v>40</v>
      </c>
      <c r="F16">
        <v>2</v>
      </c>
      <c r="G16" t="s">
        <v>40</v>
      </c>
      <c r="H16">
        <v>2</v>
      </c>
      <c r="I16" t="s">
        <v>40</v>
      </c>
      <c r="J16">
        <v>2</v>
      </c>
    </row>
    <row r="17" spans="5:10" x14ac:dyDescent="0.25">
      <c r="E17" t="s">
        <v>10</v>
      </c>
      <c r="F17">
        <v>3</v>
      </c>
      <c r="G17" t="s">
        <v>10</v>
      </c>
      <c r="H17">
        <v>3</v>
      </c>
      <c r="I17" t="s">
        <v>10</v>
      </c>
      <c r="J17">
        <v>3</v>
      </c>
    </row>
    <row r="18" spans="5:10" x14ac:dyDescent="0.25">
      <c r="E18" t="s">
        <v>10</v>
      </c>
      <c r="F18">
        <v>4</v>
      </c>
      <c r="G18" t="s">
        <v>10</v>
      </c>
      <c r="H18">
        <v>4</v>
      </c>
      <c r="I18" t="s">
        <v>10</v>
      </c>
      <c r="J18">
        <v>4</v>
      </c>
    </row>
    <row r="19" spans="5:10" x14ac:dyDescent="0.25">
      <c r="E19" t="s">
        <v>8</v>
      </c>
      <c r="F19">
        <v>3</v>
      </c>
      <c r="G19" t="s">
        <v>8</v>
      </c>
      <c r="H19">
        <v>3</v>
      </c>
      <c r="I19" t="s">
        <v>8</v>
      </c>
      <c r="J19">
        <v>3</v>
      </c>
    </row>
    <row r="20" spans="5:10" x14ac:dyDescent="0.25">
      <c r="E20" t="s">
        <v>9</v>
      </c>
      <c r="F20">
        <v>3</v>
      </c>
      <c r="G20" t="s">
        <v>9</v>
      </c>
      <c r="H20">
        <v>3</v>
      </c>
      <c r="I20" t="s">
        <v>9</v>
      </c>
      <c r="J20">
        <v>3</v>
      </c>
    </row>
    <row r="21" spans="5:10" x14ac:dyDescent="0.25">
      <c r="G21" t="s">
        <v>56</v>
      </c>
      <c r="H21">
        <v>3</v>
      </c>
      <c r="I21" t="s">
        <v>56</v>
      </c>
      <c r="J21">
        <v>3</v>
      </c>
    </row>
    <row r="22" spans="5:10" x14ac:dyDescent="0.25">
      <c r="G22" t="s">
        <v>57</v>
      </c>
      <c r="H22">
        <v>3</v>
      </c>
      <c r="I22" t="s">
        <v>57</v>
      </c>
      <c r="J22">
        <v>3</v>
      </c>
    </row>
    <row r="23" spans="5:10" x14ac:dyDescent="0.25">
      <c r="G23" t="s">
        <v>58</v>
      </c>
      <c r="H23">
        <v>3</v>
      </c>
      <c r="I23" t="s">
        <v>58</v>
      </c>
      <c r="J23">
        <v>3</v>
      </c>
    </row>
    <row r="24" spans="5:10" x14ac:dyDescent="0.25">
      <c r="G24" t="s">
        <v>40</v>
      </c>
      <c r="H24">
        <v>3</v>
      </c>
      <c r="I24" t="s">
        <v>40</v>
      </c>
      <c r="J24">
        <v>3</v>
      </c>
    </row>
    <row r="25" spans="5:10" x14ac:dyDescent="0.25">
      <c r="G25" t="s">
        <v>10</v>
      </c>
      <c r="H25">
        <v>5</v>
      </c>
      <c r="I25" t="s">
        <v>10</v>
      </c>
      <c r="J25">
        <v>5</v>
      </c>
    </row>
    <row r="26" spans="5:10" x14ac:dyDescent="0.25">
      <c r="G26" t="s">
        <v>10</v>
      </c>
      <c r="H26">
        <v>6</v>
      </c>
      <c r="I26" t="s">
        <v>10</v>
      </c>
      <c r="J26">
        <v>6</v>
      </c>
    </row>
    <row r="27" spans="5:10" x14ac:dyDescent="0.25">
      <c r="G27" t="s">
        <v>8</v>
      </c>
      <c r="H27">
        <v>4</v>
      </c>
      <c r="I27" t="s">
        <v>8</v>
      </c>
      <c r="J27">
        <v>4</v>
      </c>
    </row>
    <row r="28" spans="5:10" x14ac:dyDescent="0.25">
      <c r="G28" t="s">
        <v>9</v>
      </c>
      <c r="H28">
        <v>4</v>
      </c>
      <c r="I28" t="s">
        <v>9</v>
      </c>
      <c r="J28">
        <v>4</v>
      </c>
    </row>
    <row r="29" spans="5:10" x14ac:dyDescent="0.25">
      <c r="G29" t="s">
        <v>56</v>
      </c>
      <c r="H29">
        <v>4</v>
      </c>
      <c r="I29" t="s">
        <v>56</v>
      </c>
      <c r="J29">
        <v>4</v>
      </c>
    </row>
    <row r="30" spans="5:10" x14ac:dyDescent="0.25">
      <c r="G30" t="s">
        <v>57</v>
      </c>
      <c r="H30">
        <v>4</v>
      </c>
      <c r="I30" t="s">
        <v>57</v>
      </c>
      <c r="J30">
        <v>4</v>
      </c>
    </row>
    <row r="31" spans="5:10" x14ac:dyDescent="0.25">
      <c r="G31" t="s">
        <v>58</v>
      </c>
      <c r="H31">
        <v>4</v>
      </c>
      <c r="I31" t="s">
        <v>58</v>
      </c>
      <c r="J31">
        <v>4</v>
      </c>
    </row>
    <row r="32" spans="5:10" x14ac:dyDescent="0.25">
      <c r="G32" t="s">
        <v>40</v>
      </c>
      <c r="H32">
        <v>4</v>
      </c>
      <c r="I32" t="s">
        <v>40</v>
      </c>
      <c r="J32">
        <v>4</v>
      </c>
    </row>
    <row r="33" spans="7:10" x14ac:dyDescent="0.25">
      <c r="G33" t="s">
        <v>10</v>
      </c>
      <c r="H33">
        <v>7</v>
      </c>
      <c r="I33" t="s">
        <v>10</v>
      </c>
      <c r="J33">
        <v>7</v>
      </c>
    </row>
    <row r="34" spans="7:10" x14ac:dyDescent="0.25">
      <c r="G34" t="s">
        <v>10</v>
      </c>
      <c r="H34">
        <v>8</v>
      </c>
      <c r="I34" t="s">
        <v>10</v>
      </c>
      <c r="J34">
        <v>8</v>
      </c>
    </row>
    <row r="35" spans="7:10" x14ac:dyDescent="0.25">
      <c r="I35" t="s">
        <v>8</v>
      </c>
      <c r="J35">
        <v>5</v>
      </c>
    </row>
    <row r="36" spans="7:10" x14ac:dyDescent="0.25">
      <c r="I36" t="s">
        <v>9</v>
      </c>
      <c r="J36">
        <v>5</v>
      </c>
    </row>
    <row r="37" spans="7:10" x14ac:dyDescent="0.25">
      <c r="I37" t="s">
        <v>56</v>
      </c>
      <c r="J37">
        <v>5</v>
      </c>
    </row>
    <row r="38" spans="7:10" x14ac:dyDescent="0.25">
      <c r="I38" t="s">
        <v>57</v>
      </c>
      <c r="J38">
        <v>5</v>
      </c>
    </row>
    <row r="39" spans="7:10" x14ac:dyDescent="0.25">
      <c r="I39" t="s">
        <v>58</v>
      </c>
      <c r="J39">
        <v>5</v>
      </c>
    </row>
    <row r="40" spans="7:10" x14ac:dyDescent="0.25">
      <c r="I40" t="s">
        <v>40</v>
      </c>
      <c r="J40">
        <v>5</v>
      </c>
    </row>
    <row r="41" spans="7:10" x14ac:dyDescent="0.25">
      <c r="I41" t="s">
        <v>10</v>
      </c>
      <c r="J41">
        <v>9</v>
      </c>
    </row>
    <row r="42" spans="7:10" x14ac:dyDescent="0.25">
      <c r="I42" t="s">
        <v>10</v>
      </c>
      <c r="J42">
        <v>10</v>
      </c>
    </row>
    <row r="43" spans="7:10" x14ac:dyDescent="0.25">
      <c r="I43" t="s">
        <v>8</v>
      </c>
      <c r="J43">
        <v>6</v>
      </c>
    </row>
    <row r="44" spans="7:10" x14ac:dyDescent="0.25">
      <c r="I44" t="s">
        <v>9</v>
      </c>
      <c r="J44">
        <v>6</v>
      </c>
    </row>
    <row r="45" spans="7:10" x14ac:dyDescent="0.25">
      <c r="I45" t="s">
        <v>56</v>
      </c>
      <c r="J45">
        <v>6</v>
      </c>
    </row>
    <row r="46" spans="7:10" x14ac:dyDescent="0.25">
      <c r="I46" t="s">
        <v>57</v>
      </c>
      <c r="J46">
        <v>6</v>
      </c>
    </row>
    <row r="47" spans="7:10" x14ac:dyDescent="0.25">
      <c r="I47" t="s">
        <v>58</v>
      </c>
      <c r="J47">
        <v>6</v>
      </c>
    </row>
    <row r="48" spans="7:10" x14ac:dyDescent="0.25">
      <c r="I48" t="s">
        <v>40</v>
      </c>
      <c r="J48">
        <v>6</v>
      </c>
    </row>
    <row r="49" spans="9:10" x14ac:dyDescent="0.25">
      <c r="I49" t="s">
        <v>10</v>
      </c>
      <c r="J49">
        <v>11</v>
      </c>
    </row>
    <row r="50" spans="9:10" x14ac:dyDescent="0.25">
      <c r="I50" t="s">
        <v>10</v>
      </c>
      <c r="J50">
        <v>12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G14"/>
  <sheetViews>
    <sheetView workbookViewId="0">
      <selection activeCell="E1" sqref="E1:E17"/>
    </sheetView>
  </sheetViews>
  <sheetFormatPr defaultRowHeight="15" x14ac:dyDescent="0.25"/>
  <cols>
    <col min="1" max="1" width="15.5703125" bestFit="1" customWidth="1"/>
    <col min="2" max="2" width="15.28515625" bestFit="1" customWidth="1"/>
    <col min="3" max="3" width="25.5703125" bestFit="1" customWidth="1"/>
    <col min="4" max="5" width="25.5703125" customWidth="1"/>
    <col min="7" max="7" width="15.42578125" bestFit="1" customWidth="1"/>
  </cols>
  <sheetData>
    <row r="1" spans="1:7" x14ac:dyDescent="0.25">
      <c r="A1" t="s">
        <v>8</v>
      </c>
      <c r="B1" t="s">
        <v>9</v>
      </c>
      <c r="C1" t="s">
        <v>56</v>
      </c>
      <c r="D1" t="s">
        <v>57</v>
      </c>
      <c r="E1" t="s">
        <v>58</v>
      </c>
      <c r="F1" t="s">
        <v>40</v>
      </c>
      <c r="G1" t="s">
        <v>10</v>
      </c>
    </row>
    <row r="3" spans="1:7" x14ac:dyDescent="0.25">
      <c r="A3" t="s">
        <v>49</v>
      </c>
      <c r="B3" t="s">
        <v>53</v>
      </c>
      <c r="C3" t="s">
        <v>41</v>
      </c>
      <c r="D3" t="s">
        <v>47</v>
      </c>
      <c r="E3" t="s">
        <v>47</v>
      </c>
      <c r="F3" t="s">
        <v>33</v>
      </c>
      <c r="G3" t="s">
        <v>38</v>
      </c>
    </row>
    <row r="4" spans="1:7" x14ac:dyDescent="0.25">
      <c r="A4" t="s">
        <v>50</v>
      </c>
      <c r="B4" t="s">
        <v>52</v>
      </c>
      <c r="C4" t="s">
        <v>47</v>
      </c>
      <c r="D4" t="s">
        <v>48</v>
      </c>
      <c r="E4" t="s">
        <v>48</v>
      </c>
      <c r="F4" t="s">
        <v>35</v>
      </c>
      <c r="G4" t="s">
        <v>39</v>
      </c>
    </row>
    <row r="5" spans="1:7" x14ac:dyDescent="0.25">
      <c r="A5" t="s">
        <v>51</v>
      </c>
      <c r="B5" t="s">
        <v>32</v>
      </c>
      <c r="C5" t="s">
        <v>48</v>
      </c>
      <c r="D5" t="s">
        <v>54</v>
      </c>
      <c r="E5" t="s">
        <v>54</v>
      </c>
      <c r="F5" t="s">
        <v>34</v>
      </c>
    </row>
    <row r="6" spans="1:7" x14ac:dyDescent="0.25">
      <c r="B6" t="s">
        <v>25</v>
      </c>
      <c r="C6" t="s">
        <v>54</v>
      </c>
      <c r="D6" t="s">
        <v>55</v>
      </c>
      <c r="E6" t="s">
        <v>55</v>
      </c>
    </row>
    <row r="7" spans="1:7" x14ac:dyDescent="0.25">
      <c r="B7" t="s">
        <v>26</v>
      </c>
      <c r="C7" t="s">
        <v>55</v>
      </c>
    </row>
    <row r="8" spans="1:7" x14ac:dyDescent="0.25">
      <c r="B8" t="s">
        <v>27</v>
      </c>
    </row>
    <row r="9" spans="1:7" x14ac:dyDescent="0.25">
      <c r="B9" t="s">
        <v>28</v>
      </c>
    </row>
    <row r="10" spans="1:7" x14ac:dyDescent="0.25">
      <c r="B10" t="s">
        <v>29</v>
      </c>
    </row>
    <row r="11" spans="1:7" x14ac:dyDescent="0.25">
      <c r="B11" t="s">
        <v>30</v>
      </c>
    </row>
    <row r="12" spans="1:7" x14ac:dyDescent="0.25">
      <c r="B12" t="s">
        <v>31</v>
      </c>
    </row>
    <row r="13" spans="1:7" x14ac:dyDescent="0.25">
      <c r="B13" t="s">
        <v>36</v>
      </c>
    </row>
    <row r="14" spans="1:7" x14ac:dyDescent="0.25">
      <c r="B14" t="s">
        <v>37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F2"/>
  <sheetViews>
    <sheetView workbookViewId="0">
      <selection activeCell="E3" sqref="E3"/>
    </sheetView>
  </sheetViews>
  <sheetFormatPr defaultRowHeight="15" x14ac:dyDescent="0.25"/>
  <cols>
    <col min="3" max="3" width="13.42578125" bestFit="1" customWidth="1"/>
  </cols>
  <sheetData>
    <row r="1" spans="3:6" x14ac:dyDescent="0.25">
      <c r="C1" t="s">
        <v>47</v>
      </c>
      <c r="E1" t="s">
        <v>48</v>
      </c>
    </row>
    <row r="2" spans="3:6" x14ac:dyDescent="0.25">
      <c r="C2" t="s">
        <v>24</v>
      </c>
      <c r="D2">
        <v>1</v>
      </c>
      <c r="E2" t="s">
        <v>24</v>
      </c>
      <c r="F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A7"/>
  <sheetViews>
    <sheetView workbookViewId="0">
      <selection activeCell="A5" sqref="A5"/>
    </sheetView>
  </sheetViews>
  <sheetFormatPr defaultRowHeight="15" x14ac:dyDescent="0.25"/>
  <cols>
    <col min="1" max="1" width="16.85546875" bestFit="1" customWidth="1"/>
  </cols>
  <sheetData>
    <row r="1" spans="1:1" x14ac:dyDescent="0.25">
      <c r="A1" t="s">
        <v>24</v>
      </c>
    </row>
    <row r="3" spans="1:1" x14ac:dyDescent="0.25">
      <c r="A3" t="s">
        <v>42</v>
      </c>
    </row>
    <row r="4" spans="1:1" x14ac:dyDescent="0.25">
      <c r="A4" t="s">
        <v>46</v>
      </c>
    </row>
    <row r="5" spans="1:1" x14ac:dyDescent="0.25">
      <c r="A5" t="s">
        <v>43</v>
      </c>
    </row>
    <row r="6" spans="1:1" x14ac:dyDescent="0.25">
      <c r="A6" t="s">
        <v>44</v>
      </c>
    </row>
    <row r="7" spans="1:1" x14ac:dyDescent="0.25">
      <c r="A7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BedsideMid</vt:lpstr>
      <vt:lpstr>Cart</vt:lpstr>
      <vt:lpstr>InfusionBag</vt:lpstr>
      <vt:lpstr>RoomLrgPatient_bas_locs</vt:lpstr>
      <vt:lpstr>RoomMedBreak_3couch_locs</vt:lpstr>
      <vt:lpstr>RoomMedExam_3bed_locs</vt:lpstr>
      <vt:lpstr>RoomMedExam_base_locs</vt:lpstr>
      <vt:lpstr>RoomMedPatient_3bed_locs</vt:lpstr>
      <vt:lpstr>RoomXLGPatient_Base_locs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Tony A. Rowe</cp:lastModifiedBy>
  <dcterms:created xsi:type="dcterms:W3CDTF">2015-06-05T18:17:20Z</dcterms:created>
  <dcterms:modified xsi:type="dcterms:W3CDTF">2021-01-10T17:49:48Z</dcterms:modified>
</cp:coreProperties>
</file>